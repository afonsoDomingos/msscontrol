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0A379117-23EF-4CCE-89A5-EE639E6CE25B}" xr6:coauthVersionLast="47" xr6:coauthVersionMax="47" xr10:uidLastSave="{00000000-0000-0000-0000-000000000000}"/>
  <bookViews>
    <workbookView xWindow="-120" yWindow="-120" windowWidth="21840" windowHeight="13020" firstSheet="9" activeTab="11" xr2:uid="{00000000-000D-0000-FFFF-FFFF00000000}"/>
  </bookViews>
  <sheets>
    <sheet name="Acess" sheetId="1" r:id="rId1"/>
    <sheet name="EXTRATO PURE DIETS" sheetId="3" r:id="rId2"/>
    <sheet name="Uba" sheetId="2" r:id="rId3"/>
    <sheet name="Caixa Outubro" sheetId="10" r:id="rId4"/>
    <sheet name="Saidas nao ducumentadas" sheetId="4" r:id="rId5"/>
    <sheet name="C&amp;J logistica" sheetId="5" r:id="rId6"/>
    <sheet name="25% De Agenciamento" sheetId="8" r:id="rId7"/>
    <sheet name="Acacio despachante" sheetId="9" r:id="rId8"/>
    <sheet name="Sheet2" sheetId="12" r:id="rId9"/>
    <sheet name="Pure diets" sheetId="6" r:id="rId10"/>
    <sheet name="Caixa novembro" sheetId="13" r:id="rId11"/>
    <sheet name="Caixa Dezembro" sheetId="16" r:id="rId12"/>
    <sheet name="Regularizacao C&amp;j" sheetId="14" r:id="rId13"/>
    <sheet name="Regularizacao Pure Diets" sheetId="15" r:id="rId14"/>
    <sheet name="TCO" sheetId="7" r:id="rId15"/>
  </sheets>
  <definedNames>
    <definedName name="_xlnm.Print_Area" localSheetId="0">Acess!$A$1:$I$328</definedName>
    <definedName name="_xlnm.Print_Area" localSheetId="1">'EXTRATO PURE DIETS'!$A$1:$H$144</definedName>
    <definedName name="_xlnm.Print_Area" localSheetId="4">'Saidas nao ducumentadas'!$A$1:$H$97</definedName>
    <definedName name="_xlnm.Print_Area" localSheetId="2">Uba!$A$1:$G$316</definedName>
  </definedNames>
  <calcPr calcId="181029"/>
</workbook>
</file>

<file path=xl/calcChain.xml><?xml version="1.0" encoding="utf-8"?>
<calcChain xmlns="http://schemas.openxmlformats.org/spreadsheetml/2006/main">
  <c r="D18" i="12" l="1"/>
  <c r="F52" i="9" l="1"/>
  <c r="K50" i="9"/>
  <c r="J36" i="16"/>
  <c r="J37" i="16" s="1"/>
  <c r="J38" i="16" s="1"/>
  <c r="J32" i="16"/>
  <c r="C50" i="9"/>
  <c r="B50" i="9"/>
  <c r="E46" i="9"/>
  <c r="E50" i="9" s="1"/>
  <c r="C46" i="9"/>
  <c r="C45" i="9"/>
  <c r="F50" i="9"/>
  <c r="J17" i="16"/>
  <c r="G8" i="14"/>
  <c r="G9" i="14" s="1"/>
  <c r="G10" i="14" s="1"/>
  <c r="G11" i="14" s="1"/>
  <c r="G12" i="14" s="1"/>
  <c r="G13" i="14" s="1"/>
  <c r="G14" i="14" s="1"/>
  <c r="G15" i="14" s="1"/>
  <c r="G16" i="14" s="1"/>
  <c r="G17" i="14" s="1"/>
  <c r="G18" i="14" s="1"/>
  <c r="G19" i="14" s="1"/>
  <c r="G20" i="14" s="1"/>
  <c r="G21" i="14" s="1"/>
  <c r="J14" i="16"/>
  <c r="J12" i="16"/>
  <c r="J13" i="16" s="1"/>
  <c r="C3" i="16"/>
  <c r="C2" i="16"/>
  <c r="C1" i="16"/>
  <c r="E55" i="8"/>
  <c r="F67" i="8"/>
  <c r="C70" i="8"/>
  <c r="E70" i="8" s="1"/>
  <c r="C69" i="8"/>
  <c r="F69" i="8" s="1"/>
  <c r="C68" i="8"/>
  <c r="E68" i="8" s="1"/>
  <c r="F68" i="8"/>
  <c r="F85" i="8"/>
  <c r="F56" i="8"/>
  <c r="F57" i="8"/>
  <c r="F59" i="8"/>
  <c r="F60" i="8"/>
  <c r="F61" i="8"/>
  <c r="F62" i="8"/>
  <c r="F63" i="8"/>
  <c r="F64" i="8"/>
  <c r="F65" i="8"/>
  <c r="F66" i="8"/>
  <c r="F55" i="8"/>
  <c r="E67" i="8"/>
  <c r="E56" i="8"/>
  <c r="E57" i="8"/>
  <c r="E59" i="8"/>
  <c r="E60" i="8"/>
  <c r="E61" i="8"/>
  <c r="E62" i="8"/>
  <c r="E63" i="8"/>
  <c r="E64" i="8"/>
  <c r="E65" i="8"/>
  <c r="E66" i="8"/>
  <c r="C67" i="8"/>
  <c r="C57" i="8"/>
  <c r="C58" i="8"/>
  <c r="F58" i="8" s="1"/>
  <c r="C59" i="8"/>
  <c r="C60" i="8"/>
  <c r="C61" i="8"/>
  <c r="C62" i="8"/>
  <c r="C63" i="8"/>
  <c r="C64" i="8"/>
  <c r="C65" i="8"/>
  <c r="C66" i="8"/>
  <c r="C56" i="8"/>
  <c r="H10" i="15"/>
  <c r="H11" i="15" s="1"/>
  <c r="H12" i="15" s="1"/>
  <c r="H13" i="15" s="1"/>
  <c r="H14" i="15" s="1"/>
  <c r="H15" i="15" s="1"/>
  <c r="H16" i="15" s="1"/>
  <c r="H17" i="15" s="1"/>
  <c r="H18" i="15" s="1"/>
  <c r="H19" i="15" s="1"/>
  <c r="H20" i="15" s="1"/>
  <c r="H21" i="15" s="1"/>
  <c r="H22" i="15" s="1"/>
  <c r="H23" i="15" s="1"/>
  <c r="H24" i="15" s="1"/>
  <c r="H25" i="15" s="1"/>
  <c r="H26" i="15" s="1"/>
  <c r="H27" i="15" s="1"/>
  <c r="H28" i="15" s="1"/>
  <c r="H29" i="15" s="1"/>
  <c r="H30" i="15" s="1"/>
  <c r="H31" i="15" s="1"/>
  <c r="H32" i="15" s="1"/>
  <c r="H33" i="15" s="1"/>
  <c r="H34" i="15" s="1"/>
  <c r="H35" i="15" s="1"/>
  <c r="H36" i="15" s="1"/>
  <c r="H37" i="15" s="1"/>
  <c r="H38" i="15" s="1"/>
  <c r="H39" i="15" s="1"/>
  <c r="H40" i="15" s="1"/>
  <c r="H41" i="15" s="1"/>
  <c r="H42" i="15" s="1"/>
  <c r="H43" i="15" s="1"/>
  <c r="H44" i="15" s="1"/>
  <c r="H45" i="15" s="1"/>
  <c r="H46" i="15" s="1"/>
  <c r="H47" i="15" s="1"/>
  <c r="H48" i="15" s="1"/>
  <c r="H49" i="15" s="1"/>
  <c r="H50" i="15" s="1"/>
  <c r="H51" i="15" s="1"/>
  <c r="H52" i="15" s="1"/>
  <c r="H53" i="15" s="1"/>
  <c r="H54" i="15" s="1"/>
  <c r="H55" i="15" s="1"/>
  <c r="H56" i="15" s="1"/>
  <c r="H57" i="15" s="1"/>
  <c r="H9" i="15"/>
  <c r="H91" i="13"/>
  <c r="H92" i="13"/>
  <c r="H93" i="13"/>
  <c r="H94" i="13" s="1"/>
  <c r="H95" i="13" s="1"/>
  <c r="H96" i="13" s="1"/>
  <c r="H97" i="13" s="1"/>
  <c r="H98" i="13" s="1"/>
  <c r="H99" i="13" s="1"/>
  <c r="H100" i="13" s="1"/>
  <c r="H102" i="13" s="1"/>
  <c r="H103" i="13" s="1"/>
  <c r="H104" i="13" s="1"/>
  <c r="H105" i="13" s="1"/>
  <c r="H106" i="13" s="1"/>
  <c r="H107" i="13" s="1"/>
  <c r="H108" i="13" s="1"/>
  <c r="H109" i="13" s="1"/>
  <c r="H110" i="13" s="1"/>
  <c r="H108" i="3"/>
  <c r="H62" i="13"/>
  <c r="H63" i="13" s="1"/>
  <c r="H64" i="13" s="1"/>
  <c r="H65" i="13" s="1"/>
  <c r="H66" i="13" s="1"/>
  <c r="H67" i="13" s="1"/>
  <c r="H68" i="13" s="1"/>
  <c r="H69" i="13" s="1"/>
  <c r="H70" i="13" s="1"/>
  <c r="H71" i="13" s="1"/>
  <c r="H72" i="13" s="1"/>
  <c r="H73" i="13" s="1"/>
  <c r="H74" i="13" s="1"/>
  <c r="H75" i="13" s="1"/>
  <c r="H76" i="13" s="1"/>
  <c r="H77" i="13" s="1"/>
  <c r="H78" i="13" s="1"/>
  <c r="H79" i="13" s="1"/>
  <c r="H80" i="13" s="1"/>
  <c r="H81" i="13" s="1"/>
  <c r="H82" i="13" s="1"/>
  <c r="H83" i="13" s="1"/>
  <c r="H84" i="13" s="1"/>
  <c r="H85" i="13" s="1"/>
  <c r="H86" i="13" s="1"/>
  <c r="H87" i="13" s="1"/>
  <c r="H88" i="13" s="1"/>
  <c r="H89" i="13" s="1"/>
  <c r="H90" i="13" s="1"/>
  <c r="A53" i="13"/>
  <c r="A52" i="13"/>
  <c r="A51" i="13"/>
  <c r="H19" i="3"/>
  <c r="H18" i="3"/>
  <c r="H92" i="3"/>
  <c r="M72" i="8"/>
  <c r="L72" i="8"/>
  <c r="J72" i="8"/>
  <c r="I72" i="8"/>
  <c r="B72" i="8"/>
  <c r="F59" i="5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H15" i="13"/>
  <c r="H16" i="13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H33" i="13" s="1"/>
  <c r="H34" i="13" s="1"/>
  <c r="H35" i="13" s="1"/>
  <c r="H36" i="13" s="1"/>
  <c r="H37" i="13" s="1"/>
  <c r="H38" i="13" s="1"/>
  <c r="H39" i="13" s="1"/>
  <c r="H40" i="13" s="1"/>
  <c r="H41" i="13" s="1"/>
  <c r="H42" i="13" s="1"/>
  <c r="H43" i="13" s="1"/>
  <c r="H44" i="13" s="1"/>
  <c r="H45" i="13" s="1"/>
  <c r="H46" i="13" s="1"/>
  <c r="H47" i="13" s="1"/>
  <c r="H48" i="13" s="1"/>
  <c r="H12" i="13"/>
  <c r="H13" i="13" s="1"/>
  <c r="H14" i="13" s="1"/>
  <c r="A3" i="13"/>
  <c r="A2" i="13"/>
  <c r="A1" i="13"/>
  <c r="J15" i="16" l="1"/>
  <c r="J16" i="16" s="1"/>
  <c r="J18" i="16" s="1"/>
  <c r="J19" i="16" s="1"/>
  <c r="J20" i="16" s="1"/>
  <c r="J21" i="16" s="1"/>
  <c r="J22" i="16" s="1"/>
  <c r="J23" i="16" s="1"/>
  <c r="J24" i="16" s="1"/>
  <c r="J25" i="16" s="1"/>
  <c r="J26" i="16" s="1"/>
  <c r="J27" i="16" s="1"/>
  <c r="J28" i="16" s="1"/>
  <c r="J29" i="16" s="1"/>
  <c r="J30" i="16" s="1"/>
  <c r="J33" i="16" s="1"/>
  <c r="J34" i="16" s="1"/>
  <c r="J35" i="16" s="1"/>
  <c r="E58" i="8"/>
  <c r="F70" i="8"/>
  <c r="E69" i="8"/>
  <c r="F72" i="8"/>
  <c r="E72" i="8"/>
  <c r="C72" i="8"/>
  <c r="M34" i="8"/>
  <c r="L34" i="8"/>
  <c r="J34" i="8"/>
  <c r="I34" i="8"/>
  <c r="H23" i="10"/>
  <c r="H24" i="10" s="1"/>
  <c r="H25" i="10" s="1"/>
  <c r="B22" i="9"/>
  <c r="C35" i="9"/>
  <c r="F22" i="9"/>
  <c r="E22" i="9"/>
  <c r="C22" i="9"/>
  <c r="H12" i="10"/>
  <c r="H13" i="10" s="1"/>
  <c r="H14" i="10" s="1"/>
  <c r="H16" i="10" s="1"/>
  <c r="H17" i="10" s="1"/>
  <c r="H18" i="10" s="1"/>
  <c r="H19" i="10" s="1"/>
  <c r="H20" i="10" s="1"/>
  <c r="H21" i="10" s="1"/>
  <c r="H22" i="10" s="1"/>
  <c r="A3" i="10"/>
  <c r="A2" i="10"/>
  <c r="A1" i="10"/>
  <c r="D38" i="6"/>
  <c r="E38" i="6"/>
  <c r="F12" i="6"/>
  <c r="F13" i="6" s="1"/>
  <c r="A3" i="6"/>
  <c r="F34" i="8"/>
  <c r="E34" i="8"/>
  <c r="C34" i="8"/>
  <c r="B34" i="8"/>
  <c r="H12" i="3"/>
  <c r="E21" i="7"/>
  <c r="D21" i="7"/>
  <c r="F13" i="7"/>
  <c r="F14" i="7" s="1"/>
  <c r="F15" i="7" s="1"/>
  <c r="F16" i="7" s="1"/>
  <c r="F17" i="7" s="1"/>
  <c r="F18" i="7" s="1"/>
  <c r="F19" i="7" s="1"/>
  <c r="A3" i="7"/>
  <c r="A2" i="7"/>
  <c r="A1" i="7"/>
  <c r="A2" i="6"/>
  <c r="A1" i="6"/>
  <c r="A2" i="5"/>
  <c r="A3" i="5"/>
  <c r="A1" i="5"/>
  <c r="A2" i="4"/>
  <c r="A3" i="4"/>
  <c r="A1" i="4"/>
  <c r="A2" i="3"/>
  <c r="A3" i="3"/>
  <c r="A2" i="2"/>
  <c r="A3" i="2"/>
  <c r="A4" i="2"/>
  <c r="A1" i="2"/>
  <c r="F13" i="5"/>
  <c r="F14" i="5" s="1"/>
  <c r="F15" i="5" s="1"/>
  <c r="F16" i="5" s="1"/>
  <c r="F17" i="5" s="1"/>
  <c r="F18" i="5" s="1"/>
  <c r="F19" i="5" s="1"/>
  <c r="E21" i="5"/>
  <c r="D21" i="5"/>
  <c r="F28" i="5"/>
  <c r="F29" i="5" s="1"/>
  <c r="F30" i="5" s="1"/>
  <c r="F31" i="5" s="1"/>
  <c r="F32" i="5" s="1"/>
  <c r="F33" i="5" s="1"/>
  <c r="F34" i="5" s="1"/>
  <c r="F43" i="5"/>
  <c r="F44" i="5" s="1"/>
  <c r="F45" i="5" s="1"/>
  <c r="F46" i="5" s="1"/>
  <c r="F47" i="5" s="1"/>
  <c r="F48" i="5" s="1"/>
  <c r="F49" i="5" s="1"/>
  <c r="E83" i="5"/>
  <c r="D83" i="5"/>
  <c r="E51" i="5"/>
  <c r="D51" i="5"/>
  <c r="E36" i="5"/>
  <c r="D36" i="5"/>
  <c r="F21" i="7" l="1"/>
  <c r="H13" i="3"/>
  <c r="H14" i="3" s="1"/>
  <c r="H15" i="3" s="1"/>
  <c r="H26" i="10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H38" i="10" s="1"/>
  <c r="H39" i="10" s="1"/>
  <c r="H40" i="10" s="1"/>
  <c r="F14" i="6"/>
  <c r="F15" i="6" s="1"/>
  <c r="F16" i="6" s="1"/>
  <c r="F17" i="6" s="1"/>
  <c r="F18" i="6" s="1"/>
  <c r="F38" i="6"/>
  <c r="F21" i="5"/>
  <c r="F36" i="5"/>
  <c r="F51" i="5"/>
  <c r="H16" i="3" l="1"/>
  <c r="H17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3" i="3" s="1"/>
  <c r="H94" i="3" s="1"/>
  <c r="H95" i="3" s="1"/>
  <c r="H96" i="3" s="1"/>
  <c r="H97" i="3" s="1"/>
  <c r="F13" i="2"/>
  <c r="F14" i="2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12" i="2"/>
  <c r="F12" i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14" i="4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13" i="4"/>
  <c r="D90" i="4"/>
  <c r="H98" i="3" l="1"/>
  <c r="H99" i="3" s="1"/>
  <c r="H100" i="3" s="1"/>
  <c r="H101" i="3" s="1"/>
  <c r="H102" i="3" s="1"/>
  <c r="H103" i="3" s="1"/>
  <c r="H104" i="3" s="1"/>
  <c r="H105" i="3" s="1"/>
  <c r="H106" i="3" s="1"/>
  <c r="H107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A85" i="4"/>
  <c r="A86" i="4" s="1"/>
  <c r="A87" i="4" s="1"/>
  <c r="A88" i="4" s="1"/>
  <c r="E90" i="4"/>
  <c r="F90" i="4" s="1"/>
  <c r="A120" i="3" l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G134" i="3"/>
  <c r="E314" i="1" l="1"/>
  <c r="F134" i="3" l="1"/>
  <c r="H134" i="3" s="1"/>
  <c r="D314" i="1" l="1"/>
  <c r="F314" i="1" s="1"/>
  <c r="D308" i="2" l="1"/>
  <c r="E308" i="2" l="1"/>
  <c r="F308" i="2" s="1"/>
  <c r="F19" i="6" l="1"/>
  <c r="F20" i="6" l="1"/>
  <c r="F21" i="6"/>
  <c r="F22" i="6" s="1"/>
  <c r="F23" i="6" s="1"/>
</calcChain>
</file>

<file path=xl/sharedStrings.xml><?xml version="1.0" encoding="utf-8"?>
<sst xmlns="http://schemas.openxmlformats.org/spreadsheetml/2006/main" count="938" uniqueCount="386">
  <si>
    <t>N/O</t>
  </si>
  <si>
    <t>Data</t>
  </si>
  <si>
    <t>Descrição</t>
  </si>
  <si>
    <t>Observação</t>
  </si>
  <si>
    <t>Mapa preparado aos…………../……………./…………………</t>
  </si>
  <si>
    <t>Por…………………………………………………………………………………………………..</t>
  </si>
  <si>
    <t xml:space="preserve">Entradas e Saidas bancárias </t>
  </si>
  <si>
    <t>Entradas</t>
  </si>
  <si>
    <t>Saidas</t>
  </si>
  <si>
    <t>Saldo</t>
  </si>
  <si>
    <t>Entradas e Saidas Caixa</t>
  </si>
  <si>
    <t>a) Caixa</t>
  </si>
  <si>
    <t xml:space="preserve">Total  </t>
  </si>
  <si>
    <t xml:space="preserve">Total </t>
  </si>
  <si>
    <t>Novembro</t>
  </si>
  <si>
    <t>Falta Recibo e Borderou</t>
  </si>
  <si>
    <t xml:space="preserve">Sem comprovativo </t>
  </si>
  <si>
    <t>Entradas e Saidas Bancarias  Nao Documentadas</t>
  </si>
  <si>
    <t xml:space="preserve">a) </t>
  </si>
  <si>
    <t>Novembro (Bim)</t>
  </si>
  <si>
    <t>Nome da Entidade</t>
  </si>
  <si>
    <t xml:space="preserve">Periodo: </t>
  </si>
  <si>
    <t xml:space="preserve">Nuit: </t>
  </si>
  <si>
    <t xml:space="preserve">Movimentos </t>
  </si>
  <si>
    <t xml:space="preserve">Débito </t>
  </si>
  <si>
    <t>Crédito</t>
  </si>
  <si>
    <t>Adiantamentos</t>
  </si>
  <si>
    <t xml:space="preserve">Extracto de Clientes  à </t>
  </si>
  <si>
    <t xml:space="preserve">1) </t>
  </si>
  <si>
    <t>3)</t>
  </si>
  <si>
    <t xml:space="preserve">2) </t>
  </si>
  <si>
    <t>Empresa: Mozambique Support Services, Lda</t>
  </si>
  <si>
    <t>Extracto de Clientes  : C&amp;J LOGISTICA</t>
  </si>
  <si>
    <t>Reforco de caixa</t>
  </si>
  <si>
    <t>INSS</t>
  </si>
  <si>
    <t>Agua de Maputo</t>
  </si>
  <si>
    <t>IRPS</t>
  </si>
  <si>
    <t>TV CABO</t>
  </si>
  <si>
    <t>Ordem</t>
  </si>
  <si>
    <t>Agenciamento</t>
  </si>
  <si>
    <t>sem IVA</t>
  </si>
  <si>
    <t xml:space="preserve">Agenciamento total </t>
  </si>
  <si>
    <t>(IVA INCLUIDO)</t>
  </si>
  <si>
    <t>FACTURA C&amp;J Logistica</t>
  </si>
  <si>
    <t>MSS</t>
  </si>
  <si>
    <t>CJ Logistica</t>
  </si>
  <si>
    <t>TOTAL</t>
  </si>
  <si>
    <t>2025/286</t>
  </si>
  <si>
    <t>2025/287</t>
  </si>
  <si>
    <t>2025/288</t>
  </si>
  <si>
    <t>2025/305</t>
  </si>
  <si>
    <t>2025/306</t>
  </si>
  <si>
    <t>2025/307</t>
  </si>
  <si>
    <t>2025/308</t>
  </si>
  <si>
    <t>2025/332</t>
  </si>
  <si>
    <t>2025/335</t>
  </si>
  <si>
    <t>2025/352</t>
  </si>
  <si>
    <t>2025/353</t>
  </si>
  <si>
    <t>2025/354</t>
  </si>
  <si>
    <t>2025/355</t>
  </si>
  <si>
    <t>POFDMCC/MOZ/2025/015</t>
  </si>
  <si>
    <t>POFDMCC-MOZ-25-016</t>
  </si>
  <si>
    <t>POFDMCC-MOZ-25-017</t>
  </si>
  <si>
    <t>OUTUBRO</t>
  </si>
  <si>
    <t>total</t>
  </si>
  <si>
    <t>Facturas</t>
  </si>
  <si>
    <t>Acacio Despachante</t>
  </si>
  <si>
    <t>FeDeX</t>
  </si>
  <si>
    <t>ETIOPHIA AIR</t>
  </si>
  <si>
    <t>ETIOPHIA</t>
  </si>
  <si>
    <t>….......................</t>
  </si>
  <si>
    <t>TOTAL:</t>
  </si>
  <si>
    <t>VALOR</t>
  </si>
  <si>
    <t>Despesas Assumidas pela AD</t>
  </si>
  <si>
    <r>
      <t>Taxa de documenta</t>
    </r>
    <r>
      <rPr>
        <sz val="11"/>
        <color theme="1"/>
        <rFont val="Calibri"/>
        <family val="2"/>
      </rPr>
      <t>ção</t>
    </r>
  </si>
  <si>
    <t>Outubro</t>
  </si>
  <si>
    <t>Autenticacaoo de documentos</t>
  </si>
  <si>
    <t>Aviso</t>
  </si>
  <si>
    <t>Irps</t>
  </si>
  <si>
    <t xml:space="preserve">Aeroporto e Mhs </t>
  </si>
  <si>
    <t>Vicente Yango</t>
  </si>
  <si>
    <t>TV cabo</t>
  </si>
  <si>
    <t>N° Documento</t>
  </si>
  <si>
    <t>Alfandegas</t>
  </si>
  <si>
    <t>Pago</t>
  </si>
  <si>
    <t>MAHS</t>
  </si>
  <si>
    <t>Inscricao do yango</t>
  </si>
  <si>
    <t>AdRM</t>
  </si>
  <si>
    <t>Autoridade tributaria</t>
  </si>
  <si>
    <t>Notario</t>
  </si>
  <si>
    <t>Yango MBT</t>
  </si>
  <si>
    <t>Pagamento de Aviso</t>
  </si>
  <si>
    <t>Credelec</t>
  </si>
  <si>
    <t>Pasta de Arquivos</t>
  </si>
  <si>
    <t>Academy</t>
  </si>
  <si>
    <t>Emola</t>
  </si>
  <si>
    <t>Deposito Banco</t>
  </si>
  <si>
    <t>Entrega de documentos</t>
  </si>
  <si>
    <t xml:space="preserve">pilhas </t>
  </si>
  <si>
    <t>para ambientadores</t>
  </si>
  <si>
    <t>Taxas Aeroportuarias</t>
  </si>
  <si>
    <t>a) Acess bank</t>
  </si>
  <si>
    <t>a)UBA BANK</t>
  </si>
  <si>
    <t>Saldos Anteriores</t>
  </si>
  <si>
    <t>Transferencia pure diets</t>
  </si>
  <si>
    <t>Pagamento de IVA</t>
  </si>
  <si>
    <t>Pagamento de INSS</t>
  </si>
  <si>
    <t>Recebimento Pure diets</t>
  </si>
  <si>
    <t>Transferencia C&amp;J</t>
  </si>
  <si>
    <t>Pagamento INAMAR</t>
  </si>
  <si>
    <t>comissao do banco</t>
  </si>
  <si>
    <t>Imposto de selo</t>
  </si>
  <si>
    <t>recebimento C&amp;j</t>
  </si>
  <si>
    <t>Pagamento Helder contabilidade</t>
  </si>
  <si>
    <t>Setembro</t>
  </si>
  <si>
    <t>2025-429</t>
  </si>
  <si>
    <t>2025-0430</t>
  </si>
  <si>
    <t>2025-0431</t>
  </si>
  <si>
    <t>2025-0333</t>
  </si>
  <si>
    <t>2025-0334</t>
  </si>
  <si>
    <t>2025-0433</t>
  </si>
  <si>
    <t>2025-0434</t>
  </si>
  <si>
    <t>2025-0414</t>
  </si>
  <si>
    <t>2025-0439</t>
  </si>
  <si>
    <t>2025-0395</t>
  </si>
  <si>
    <t>mahs e Aeroportos</t>
  </si>
  <si>
    <t>Afonso Domingos</t>
  </si>
  <si>
    <t>Salario referente ao mes de Outubro</t>
  </si>
  <si>
    <t>Almoco colega Valda</t>
  </si>
  <si>
    <t>Moldura Alvara</t>
  </si>
  <si>
    <t>Papel higienico</t>
  </si>
  <si>
    <t>Recarga credito</t>
  </si>
  <si>
    <t>PREGOS</t>
  </si>
  <si>
    <t>DATAS DE PAGAMENTO</t>
  </si>
  <si>
    <t>DESCRICAO</t>
  </si>
  <si>
    <t>AGUA</t>
  </si>
  <si>
    <t>IVA</t>
  </si>
  <si>
    <t>ATE 10 DE CADA MES</t>
  </si>
  <si>
    <t>ate 20 de cada mes</t>
  </si>
  <si>
    <t>ate 10 de cada mes reporte</t>
  </si>
  <si>
    <t>a) PURE DIETS</t>
  </si>
  <si>
    <t>Debito</t>
  </si>
  <si>
    <t>Credito</t>
  </si>
  <si>
    <t>FA Nº 70/2025</t>
  </si>
  <si>
    <t>FA Nº 71/2025</t>
  </si>
  <si>
    <t>FA Nº 72/2025</t>
  </si>
  <si>
    <t>FA Nº 73/2025</t>
  </si>
  <si>
    <t>FA Nº 74/2025</t>
  </si>
  <si>
    <t>FA Nº 75/2025</t>
  </si>
  <si>
    <t>RE Nº 12/2025</t>
  </si>
  <si>
    <t>FA Nº 76/2025</t>
  </si>
  <si>
    <t>FA Nº 77/2025</t>
  </si>
  <si>
    <t>RE Nº 13/2025</t>
  </si>
  <si>
    <t>FA Nº 78/2025</t>
  </si>
  <si>
    <t>FA Nº 79/2025</t>
  </si>
  <si>
    <t>FA Nº 80/2025</t>
  </si>
  <si>
    <t>FA Nº 81/2025</t>
  </si>
  <si>
    <t>FA Nº 82/2025</t>
  </si>
  <si>
    <t>FA Nº 83/2025</t>
  </si>
  <si>
    <t>FA Nº 84/2025</t>
  </si>
  <si>
    <t>ND Nº 1/2025</t>
  </si>
  <si>
    <t>FA Nº 86/2025</t>
  </si>
  <si>
    <t>FA Nº 87/2025</t>
  </si>
  <si>
    <t>FA Nº 88/2025</t>
  </si>
  <si>
    <t>FA Nº 89/2025</t>
  </si>
  <si>
    <t>RE Nº 15/2025</t>
  </si>
  <si>
    <t>FA Nº 91/2025</t>
  </si>
  <si>
    <t>FA Nº 92/2025</t>
  </si>
  <si>
    <t>FA Nº 93/2025</t>
  </si>
  <si>
    <t>FA Nº 94/2025</t>
  </si>
  <si>
    <t>FA Nº 95/2025</t>
  </si>
  <si>
    <t>FA Nº 96/2025</t>
  </si>
  <si>
    <t>FA Nº 97/2025</t>
  </si>
  <si>
    <t>FA Nº 101/2025</t>
  </si>
  <si>
    <t>FA Nº 102/2025</t>
  </si>
  <si>
    <t>FA Nº 103/2025</t>
  </si>
  <si>
    <t>FA Nº 107/2025</t>
  </si>
  <si>
    <t>RE Nº 19/2025</t>
  </si>
  <si>
    <t>NC Nº 3/2025</t>
  </si>
  <si>
    <t>FA Nº 109/2025</t>
  </si>
  <si>
    <t>RE Nº 20/2025</t>
  </si>
  <si>
    <t>FA Nº 110/2025</t>
  </si>
  <si>
    <t>Brd 20-05</t>
  </si>
  <si>
    <t>RE Nº 2/2025</t>
  </si>
  <si>
    <t>RE Nº 3/2025</t>
  </si>
  <si>
    <t>FA Nº 3/2025</t>
  </si>
  <si>
    <t>FA Nº 4/2025</t>
  </si>
  <si>
    <t>RE Nº 4/2025</t>
  </si>
  <si>
    <t>FA Nº 7/2025</t>
  </si>
  <si>
    <t>FA Nº 5/2025</t>
  </si>
  <si>
    <t>FA Nº 6/2025</t>
  </si>
  <si>
    <t>FA Nº 8/2025</t>
  </si>
  <si>
    <t>FA Nº 11/2025</t>
  </si>
  <si>
    <t>FA Nº 14/2025</t>
  </si>
  <si>
    <t>FA Nº 9/2025</t>
  </si>
  <si>
    <t>FA Nº 10/2025</t>
  </si>
  <si>
    <t>FA Nº 12/2025</t>
  </si>
  <si>
    <t>FA Nº 13/2025</t>
  </si>
  <si>
    <t>FA Nº 16/2025</t>
  </si>
  <si>
    <t>FA Nº 15/2025</t>
  </si>
  <si>
    <t>RE Nº 5/2025</t>
  </si>
  <si>
    <t>RE Nº 6/2025</t>
  </si>
  <si>
    <t>FA Nº 18/2025</t>
  </si>
  <si>
    <t>FA Nº 17/2025</t>
  </si>
  <si>
    <t>FA Nº 37/2025</t>
  </si>
  <si>
    <t>FA Nº 38/2025</t>
  </si>
  <si>
    <t>RE Nº 7/2025</t>
  </si>
  <si>
    <t>FA Nº 39/2025</t>
  </si>
  <si>
    <t>FA Nº 42/2025</t>
  </si>
  <si>
    <t>FA Nº 43/2025</t>
  </si>
  <si>
    <t>FA Nº 44/2025</t>
  </si>
  <si>
    <t>FA Nº 45/2025</t>
  </si>
  <si>
    <t>FA Nº 46/2025</t>
  </si>
  <si>
    <t>FA Nº 48/2025</t>
  </si>
  <si>
    <t>FA Nº 50/2025</t>
  </si>
  <si>
    <t>RE Nº 8/2025</t>
  </si>
  <si>
    <t>FA Nº 53/2025</t>
  </si>
  <si>
    <t>FA Nº 54/2025</t>
  </si>
  <si>
    <t>FA Nº 55/2025</t>
  </si>
  <si>
    <t>FA Nº 56/2025</t>
  </si>
  <si>
    <t>FA Nº 57/2025</t>
  </si>
  <si>
    <t>FA Nº 64/2025</t>
  </si>
  <si>
    <t>FA Nº 65/2025</t>
  </si>
  <si>
    <t>FA Nº 66/2025</t>
  </si>
  <si>
    <t>RE Nº 9/2025</t>
  </si>
  <si>
    <t>RE Nº 10/2025</t>
  </si>
  <si>
    <t>FA Nº 69/2025</t>
  </si>
  <si>
    <t xml:space="preserve">yango acess </t>
  </si>
  <si>
    <t>SALDO FINAL</t>
  </si>
  <si>
    <t>ADRM</t>
  </si>
  <si>
    <t>Agua</t>
  </si>
  <si>
    <t>Agente MSC</t>
  </si>
  <si>
    <t>Factura da MSC</t>
  </si>
  <si>
    <t>Nota de DEBITO</t>
  </si>
  <si>
    <t>MSC</t>
  </si>
  <si>
    <t>C&amp;J 2025-0991</t>
  </si>
  <si>
    <t>C&amp;J 2025-0941</t>
  </si>
  <si>
    <t>2025-0852</t>
  </si>
  <si>
    <t>Limpeza</t>
  </si>
  <si>
    <t>Iirps</t>
  </si>
  <si>
    <t>FA 2025/111</t>
  </si>
  <si>
    <t>FA 2025/112</t>
  </si>
  <si>
    <t>FA 2025/113</t>
  </si>
  <si>
    <t>FA 2025/114</t>
  </si>
  <si>
    <t>MOZAMBIQUE SUPPORT SERVICES, Lda</t>
  </si>
  <si>
    <t xml:space="preserve">EXTRATO DO CLIENTE </t>
  </si>
  <si>
    <t>NOVEMBRO</t>
  </si>
  <si>
    <t>DEZEMBRO</t>
  </si>
  <si>
    <t>ERICA GUELUME</t>
  </si>
  <si>
    <t>DESPESAS DO ESCRITORIO</t>
  </si>
  <si>
    <t>Total :</t>
  </si>
  <si>
    <t>Hospedagem web</t>
  </si>
  <si>
    <t>FA 2025/117</t>
  </si>
  <si>
    <t>FA 2025/118</t>
  </si>
  <si>
    <t>Dif. Arred.</t>
  </si>
  <si>
    <t>Dif. Cambio</t>
  </si>
  <si>
    <t>0,0O</t>
  </si>
  <si>
    <t>saida para esposa Otilio Jorge</t>
  </si>
  <si>
    <t>Abastecimento Otilio jorge</t>
  </si>
  <si>
    <t>Levantamento encomenda Otilio</t>
  </si>
  <si>
    <t>Yango quinta essencia</t>
  </si>
  <si>
    <t>Credelec escritorio</t>
  </si>
  <si>
    <t>Cargas</t>
  </si>
  <si>
    <t>Aereas</t>
  </si>
  <si>
    <t>Valor</t>
  </si>
  <si>
    <t>Descricao</t>
  </si>
  <si>
    <t>INV-088018</t>
  </si>
  <si>
    <t>INV-088019</t>
  </si>
  <si>
    <t>INV-088020</t>
  </si>
  <si>
    <t>Acacio</t>
  </si>
  <si>
    <t>Total</t>
  </si>
  <si>
    <t>C&amp;J Logistica</t>
  </si>
  <si>
    <t>Andre Monteiro</t>
  </si>
  <si>
    <t>Extintor</t>
  </si>
  <si>
    <t>yango nedbank</t>
  </si>
  <si>
    <t>yango</t>
  </si>
  <si>
    <t>Factura DHL</t>
  </si>
  <si>
    <t>Aviso de pagamento</t>
  </si>
  <si>
    <t>Lev. Cheque</t>
  </si>
  <si>
    <t>Lev. Cheque 200.000 E 150.000 FOI Para senhor Edson</t>
  </si>
  <si>
    <t>Almoco Andre</t>
  </si>
  <si>
    <t>Inatro Andre</t>
  </si>
  <si>
    <t xml:space="preserve"> </t>
  </si>
  <si>
    <t>Carregamentos salarios</t>
  </si>
  <si>
    <t>FA Nº 119/2025</t>
  </si>
  <si>
    <t>FA Nº 120/2025</t>
  </si>
  <si>
    <t>Adiantamentos do cliente</t>
  </si>
  <si>
    <t>Levantamento cheque 60.000</t>
  </si>
  <si>
    <t>Renda do escritorio</t>
  </si>
  <si>
    <t>Andre Monteiro carga da pure</t>
  </si>
  <si>
    <t>Andre combustivel</t>
  </si>
  <si>
    <t>carga pure diets</t>
  </si>
  <si>
    <t>inss</t>
  </si>
  <si>
    <t>FACT 2025/0463</t>
  </si>
  <si>
    <t>FACT 2025/0506</t>
  </si>
  <si>
    <t>FACT 2025/0505</t>
  </si>
  <si>
    <t>FACT 2025/0545</t>
  </si>
  <si>
    <t>FACT 2025/0549</t>
  </si>
  <si>
    <t>FACT 2025/0548</t>
  </si>
  <si>
    <t>FACT 2025/0547</t>
  </si>
  <si>
    <t>FACT 2025/0544</t>
  </si>
  <si>
    <t>Carga pure diets motorizada</t>
  </si>
  <si>
    <t>Abu yango</t>
  </si>
  <si>
    <t>Aviso carga aerea</t>
  </si>
  <si>
    <t>FACT 2025/0552</t>
  </si>
  <si>
    <t>FACT 2025/0553</t>
  </si>
  <si>
    <t>reforco de caixa</t>
  </si>
  <si>
    <t xml:space="preserve">Pagamento da proforma </t>
  </si>
  <si>
    <t>Local:</t>
  </si>
  <si>
    <t>Declaração:</t>
  </si>
  <si>
    <r>
      <t xml:space="preserve">Eu, ____________________________________________, representante da </t>
    </r>
    <r>
      <rPr>
        <b/>
        <sz val="11"/>
        <color theme="1"/>
        <rFont val="Calibri"/>
        <family val="2"/>
        <scheme val="minor"/>
      </rPr>
      <t>C&amp;J Logística</t>
    </r>
    <r>
      <rPr>
        <sz val="11"/>
        <color theme="1"/>
        <rFont val="Calibri"/>
        <family val="2"/>
        <scheme val="minor"/>
      </rPr>
      <t xml:space="preserve">, confirmo que recebi </t>
    </r>
    <r>
      <rPr>
        <b/>
        <sz val="11"/>
        <color theme="1"/>
        <rFont val="Calibri"/>
        <family val="2"/>
        <scheme val="minor"/>
      </rPr>
      <t>em numerário</t>
    </r>
    <r>
      <rPr>
        <sz val="11"/>
        <color theme="1"/>
        <rFont val="Calibri"/>
        <family val="2"/>
        <scheme val="minor"/>
      </rPr>
      <t xml:space="preserve"> o valor acima indicado da Mozambique Support Services, referente ao pagamento da proforma nº 1076.</t>
    </r>
  </si>
  <si>
    <t>Assinatura do Recebedor:</t>
  </si>
  <si>
    <t>Nome: __________________________________</t>
  </si>
  <si>
    <t>Cargo: _________________________________</t>
  </si>
  <si>
    <r>
      <t xml:space="preserve">Data: </t>
    </r>
    <r>
      <rPr>
        <b/>
        <sz val="11"/>
        <color theme="1"/>
        <rFont val="Calibri"/>
        <family val="2"/>
        <scheme val="minor"/>
      </rPr>
      <t>/</t>
    </r>
    <r>
      <rPr>
        <sz val="11"/>
        <color theme="1"/>
        <rFont val="Calibri"/>
        <family val="2"/>
        <scheme val="minor"/>
      </rPr>
      <t>/________</t>
    </r>
  </si>
  <si>
    <t>Carimbo da Empresa:</t>
  </si>
  <si>
    <t>(Se aplicável)</t>
  </si>
  <si>
    <t>INATRO Andre…</t>
  </si>
  <si>
    <t>Levantamento de cheque 65.000,00</t>
  </si>
  <si>
    <t>LEVAntamento cheque 50.000,00</t>
  </si>
  <si>
    <t>a) C&amp;J LOGISTICA LDA</t>
  </si>
  <si>
    <t>EXTRATO Agosto ate Dezembro</t>
  </si>
  <si>
    <t>RPM/MOZ/25-26/013</t>
  </si>
  <si>
    <t>RPM/MOZ/25-26/014</t>
  </si>
  <si>
    <t>IN134425</t>
  </si>
  <si>
    <t>INV-087125</t>
  </si>
  <si>
    <t>INV-087121</t>
  </si>
  <si>
    <t>RPMSAM0625-26</t>
  </si>
  <si>
    <t>INV-087305</t>
  </si>
  <si>
    <t>INV-087306</t>
  </si>
  <si>
    <t>INV-087308</t>
  </si>
  <si>
    <t>IN134793</t>
  </si>
  <si>
    <t>POFDMCC/MOZ/2025/014</t>
  </si>
  <si>
    <t>Valor pago a C&amp;J</t>
  </si>
  <si>
    <t>Valor final da C&amp;J</t>
  </si>
  <si>
    <t>Factura Final C&amp;J</t>
  </si>
  <si>
    <t>FACT 2025/554</t>
  </si>
  <si>
    <t>FACT 2025/555</t>
  </si>
  <si>
    <t>FACT 2025/556</t>
  </si>
  <si>
    <t>FACT 2025/558</t>
  </si>
  <si>
    <t>FACT 2025/509</t>
  </si>
  <si>
    <t>FACT 2025/560</t>
  </si>
  <si>
    <t>EMME estacionamento</t>
  </si>
  <si>
    <t>Andre</t>
  </si>
  <si>
    <t>.</t>
  </si>
  <si>
    <t>Levantamento de cheque</t>
  </si>
  <si>
    <t>deposito no emola Otilio Jorge</t>
  </si>
  <si>
    <t>Munincipio Estrada</t>
  </si>
  <si>
    <t>Fotos de Presidente</t>
  </si>
  <si>
    <t>Carga aerea Acaciio</t>
  </si>
  <si>
    <t>Deposito de Licenca</t>
  </si>
  <si>
    <t>Moldura</t>
  </si>
  <si>
    <t>Andre Abastecimento</t>
  </si>
  <si>
    <t>MAPA DE CONTROLO MTR</t>
  </si>
  <si>
    <t>h</t>
  </si>
  <si>
    <t>FRETE Moamba</t>
  </si>
  <si>
    <t>MTR</t>
  </si>
  <si>
    <t>NOTA DE DEBITO</t>
  </si>
  <si>
    <t>Andre carga pure</t>
  </si>
  <si>
    <t>Acacio carga</t>
  </si>
  <si>
    <t>FEDeX</t>
  </si>
  <si>
    <t>Mpesa Otilio Jorge</t>
  </si>
  <si>
    <t>DP world</t>
  </si>
  <si>
    <t>Aviso carga pure</t>
  </si>
  <si>
    <t>Retirada da carga no porto</t>
  </si>
  <si>
    <t>CREDITO</t>
  </si>
  <si>
    <t>Acacio Despachantes</t>
  </si>
  <si>
    <t>C&amp;J LOGISTICA</t>
  </si>
  <si>
    <t>QUINTA ESSENCIA</t>
  </si>
  <si>
    <t>Dividas MSS</t>
  </si>
  <si>
    <t>FA Nº 121/2025</t>
  </si>
  <si>
    <t>FA Nº 122/2025</t>
  </si>
  <si>
    <t>FA Nº 123/2025</t>
  </si>
  <si>
    <t>FA Nº 124/2025</t>
  </si>
  <si>
    <t>FA Nº 125/2025</t>
  </si>
  <si>
    <t>FA Nº 126/2025</t>
  </si>
  <si>
    <t>FA Nº 127/2025</t>
  </si>
  <si>
    <t>FA Nº 128/2025</t>
  </si>
  <si>
    <t>FA Nº 129/2025</t>
  </si>
  <si>
    <t>FA Nº 130/2025</t>
  </si>
  <si>
    <t>FA Nº 131/2025</t>
  </si>
  <si>
    <t>FA Nº 132/2025</t>
  </si>
  <si>
    <t>FA Nº 133/2025</t>
  </si>
  <si>
    <t>FA Nº 134/2025</t>
  </si>
  <si>
    <t>FA Nº 135/2025</t>
  </si>
  <si>
    <t>FA Nº 137/2025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</si>
</sst>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_ ;[Red]\-#,##0.00;_-\ * &quot;-&quot;??_-;_-@_-"/>
    <numFmt numFmtId="165" formatCode="_-* #,##0.00\ [$MZN]_-;\-* #,##0.00\ [$MZN]_-;_-* &quot;-&quot;??\ [$MZN]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Garamond"/>
      <family val="1"/>
    </font>
    <font>
      <b/>
      <sz val="12"/>
      <color theme="1"/>
      <name val="Garamond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Times New Roman"/>
      <family val="1"/>
    </font>
    <font>
      <b/>
      <sz val="14"/>
      <color theme="1"/>
      <name val="Times New Roman"/>
      <family val="1"/>
    </font>
    <font>
      <b/>
      <sz val="2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1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3" borderId="0" xfId="0" applyFont="1" applyFill="1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5" xfId="0" applyFont="1" applyBorder="1"/>
    <xf numFmtId="0" fontId="2" fillId="2" borderId="6" xfId="0" applyFont="1" applyFill="1" applyBorder="1"/>
    <xf numFmtId="0" fontId="2" fillId="2" borderId="7" xfId="0" applyFont="1" applyFill="1" applyBorder="1"/>
    <xf numFmtId="4" fontId="2" fillId="2" borderId="7" xfId="0" applyNumberFormat="1" applyFont="1" applyFill="1" applyBorder="1"/>
    <xf numFmtId="4" fontId="2" fillId="2" borderId="9" xfId="0" applyNumberFormat="1" applyFont="1" applyFill="1" applyBorder="1"/>
    <xf numFmtId="43" fontId="1" fillId="0" borderId="0" xfId="1" applyFont="1"/>
    <xf numFmtId="14" fontId="1" fillId="0" borderId="1" xfId="0" applyNumberFormat="1" applyFont="1" applyBorder="1" applyAlignment="1">
      <alignment horizontal="center"/>
    </xf>
    <xf numFmtId="43" fontId="1" fillId="0" borderId="1" xfId="1" applyFont="1" applyFill="1" applyBorder="1"/>
    <xf numFmtId="4" fontId="1" fillId="0" borderId="1" xfId="0" applyNumberFormat="1" applyFont="1" applyBorder="1"/>
    <xf numFmtId="0" fontId="1" fillId="3" borderId="14" xfId="0" applyFont="1" applyFill="1" applyBorder="1"/>
    <xf numFmtId="0" fontId="1" fillId="0" borderId="10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4" fontId="2" fillId="0" borderId="7" xfId="0" applyNumberFormat="1" applyFont="1" applyBorder="1"/>
    <xf numFmtId="43" fontId="2" fillId="0" borderId="1" xfId="1" applyFont="1" applyFill="1" applyBorder="1" applyAlignment="1">
      <alignment vertical="center"/>
    </xf>
    <xf numFmtId="0" fontId="2" fillId="2" borderId="17" xfId="0" applyFont="1" applyFill="1" applyBorder="1"/>
    <xf numFmtId="0" fontId="2" fillId="2" borderId="19" xfId="0" applyFont="1" applyFill="1" applyBorder="1"/>
    <xf numFmtId="0" fontId="2" fillId="2" borderId="20" xfId="0" applyFont="1" applyFill="1" applyBorder="1"/>
    <xf numFmtId="0" fontId="2" fillId="2" borderId="21" xfId="0" applyFont="1" applyFill="1" applyBorder="1"/>
    <xf numFmtId="4" fontId="1" fillId="0" borderId="8" xfId="0" applyNumberFormat="1" applyFont="1" applyBorder="1"/>
    <xf numFmtId="43" fontId="1" fillId="0" borderId="8" xfId="1" applyFont="1" applyFill="1" applyBorder="1"/>
    <xf numFmtId="43" fontId="1" fillId="0" borderId="22" xfId="1" applyFont="1" applyFill="1" applyBorder="1"/>
    <xf numFmtId="4" fontId="2" fillId="2" borderId="24" xfId="0" applyNumberFormat="1" applyFont="1" applyFill="1" applyBorder="1"/>
    <xf numFmtId="0" fontId="1" fillId="3" borderId="18" xfId="0" applyFont="1" applyFill="1" applyBorder="1"/>
    <xf numFmtId="0" fontId="1" fillId="3" borderId="23" xfId="0" applyFont="1" applyFill="1" applyBorder="1"/>
    <xf numFmtId="0" fontId="2" fillId="0" borderId="29" xfId="0" applyFont="1" applyBorder="1"/>
    <xf numFmtId="4" fontId="2" fillId="0" borderId="0" xfId="0" applyNumberFormat="1" applyFont="1"/>
    <xf numFmtId="14" fontId="1" fillId="0" borderId="1" xfId="0" applyNumberFormat="1" applyFont="1" applyBorder="1" applyAlignment="1">
      <alignment horizontal="center" vertical="center"/>
    </xf>
    <xf numFmtId="14" fontId="1" fillId="3" borderId="14" xfId="0" applyNumberFormat="1" applyFont="1" applyFill="1" applyBorder="1"/>
    <xf numFmtId="4" fontId="1" fillId="3" borderId="14" xfId="0" applyNumberFormat="1" applyFont="1" applyFill="1" applyBorder="1"/>
    <xf numFmtId="0" fontId="1" fillId="0" borderId="13" xfId="0" applyFont="1" applyBorder="1"/>
    <xf numFmtId="14" fontId="1" fillId="0" borderId="5" xfId="0" applyNumberFormat="1" applyFont="1" applyBorder="1"/>
    <xf numFmtId="2" fontId="1" fillId="0" borderId="1" xfId="0" applyNumberFormat="1" applyFont="1" applyBorder="1" applyAlignment="1">
      <alignment horizontal="right" vertical="center"/>
    </xf>
    <xf numFmtId="0" fontId="5" fillId="0" borderId="0" xfId="0" applyFont="1"/>
    <xf numFmtId="0" fontId="6" fillId="0" borderId="0" xfId="0" applyFont="1"/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/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4" fontId="5" fillId="0" borderId="1" xfId="0" applyNumberFormat="1" applyFont="1" applyBorder="1" applyAlignment="1">
      <alignment horizontal="right"/>
    </xf>
    <xf numFmtId="0" fontId="5" fillId="6" borderId="1" xfId="0" applyFont="1" applyFill="1" applyBorder="1"/>
    <xf numFmtId="0" fontId="6" fillId="6" borderId="1" xfId="0" applyFont="1" applyFill="1" applyBorder="1"/>
    <xf numFmtId="0" fontId="5" fillId="6" borderId="1" xfId="0" applyFont="1" applyFill="1" applyBorder="1" applyAlignment="1">
      <alignment horizontal="center"/>
    </xf>
    <xf numFmtId="4" fontId="6" fillId="6" borderId="1" xfId="0" applyNumberFormat="1" applyFont="1" applyFill="1" applyBorder="1" applyAlignment="1">
      <alignment horizontal="right"/>
    </xf>
    <xf numFmtId="0" fontId="7" fillId="0" borderId="30" xfId="0" applyFont="1" applyBorder="1"/>
    <xf numFmtId="9" fontId="8" fillId="0" borderId="17" xfId="0" applyNumberFormat="1" applyFont="1" applyBorder="1" applyAlignment="1">
      <alignment horizontal="center"/>
    </xf>
    <xf numFmtId="0" fontId="8" fillId="0" borderId="30" xfId="0" applyFont="1" applyBorder="1"/>
    <xf numFmtId="0" fontId="8" fillId="0" borderId="32" xfId="0" applyFont="1" applyBorder="1"/>
    <xf numFmtId="0" fontId="8" fillId="0" borderId="30" xfId="0" applyFont="1" applyBorder="1" applyAlignment="1">
      <alignment horizontal="center"/>
    </xf>
    <xf numFmtId="0" fontId="8" fillId="0" borderId="31" xfId="0" applyFont="1" applyBorder="1"/>
    <xf numFmtId="165" fontId="8" fillId="0" borderId="34" xfId="3" applyNumberFormat="1" applyFont="1" applyBorder="1"/>
    <xf numFmtId="165" fontId="8" fillId="0" borderId="35" xfId="3" applyNumberFormat="1" applyFont="1" applyBorder="1"/>
    <xf numFmtId="165" fontId="8" fillId="0" borderId="35" xfId="1" applyNumberFormat="1" applyFont="1" applyBorder="1"/>
    <xf numFmtId="165" fontId="8" fillId="0" borderId="36" xfId="3" applyNumberFormat="1" applyFont="1" applyBorder="1"/>
    <xf numFmtId="165" fontId="8" fillId="0" borderId="37" xfId="3" applyNumberFormat="1" applyFont="1" applyBorder="1"/>
    <xf numFmtId="165" fontId="8" fillId="0" borderId="38" xfId="3" applyNumberFormat="1" applyFont="1" applyBorder="1"/>
    <xf numFmtId="165" fontId="8" fillId="0" borderId="33" xfId="3" applyNumberFormat="1" applyFont="1" applyBorder="1"/>
    <xf numFmtId="165" fontId="8" fillId="0" borderId="39" xfId="3" applyNumberFormat="1" applyFont="1" applyBorder="1"/>
    <xf numFmtId="165" fontId="8" fillId="0" borderId="40" xfId="3" applyNumberFormat="1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165" fontId="8" fillId="0" borderId="38" xfId="1" applyNumberFormat="1" applyFont="1" applyBorder="1"/>
    <xf numFmtId="165" fontId="8" fillId="0" borderId="33" xfId="1" applyNumberFormat="1" applyFont="1" applyBorder="1"/>
    <xf numFmtId="165" fontId="8" fillId="0" borderId="39" xfId="1" applyNumberFormat="1" applyFont="1" applyBorder="1"/>
    <xf numFmtId="165" fontId="8" fillId="0" borderId="40" xfId="1" applyNumberFormat="1" applyFont="1" applyBorder="1"/>
    <xf numFmtId="165" fontId="8" fillId="0" borderId="32" xfId="1" applyNumberFormat="1" applyFont="1" applyBorder="1"/>
    <xf numFmtId="0" fontId="8" fillId="0" borderId="33" xfId="0" applyFont="1" applyBorder="1" applyAlignment="1">
      <alignment horizontal="center"/>
    </xf>
    <xf numFmtId="165" fontId="8" fillId="8" borderId="31" xfId="1" applyNumberFormat="1" applyFont="1" applyFill="1" applyBorder="1"/>
    <xf numFmtId="0" fontId="8" fillId="0" borderId="0" xfId="0" applyFont="1"/>
    <xf numFmtId="0" fontId="7" fillId="0" borderId="0" xfId="0" applyFont="1"/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8" fillId="0" borderId="1" xfId="0" applyFont="1" applyBorder="1"/>
    <xf numFmtId="14" fontId="8" fillId="0" borderId="1" xfId="0" applyNumberFormat="1" applyFont="1" applyBorder="1" applyAlignment="1">
      <alignment horizontal="center"/>
    </xf>
    <xf numFmtId="4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8" fillId="6" borderId="1" xfId="0" applyFont="1" applyFill="1" applyBorder="1"/>
    <xf numFmtId="0" fontId="7" fillId="6" borderId="1" xfId="0" applyFont="1" applyFill="1" applyBorder="1"/>
    <xf numFmtId="0" fontId="8" fillId="6" borderId="1" xfId="0" applyFont="1" applyFill="1" applyBorder="1" applyAlignment="1">
      <alignment horizontal="center"/>
    </xf>
    <xf numFmtId="4" fontId="7" fillId="6" borderId="1" xfId="0" applyNumberFormat="1" applyFont="1" applyFill="1" applyBorder="1" applyAlignment="1">
      <alignment horizontal="right"/>
    </xf>
    <xf numFmtId="0" fontId="8" fillId="9" borderId="42" xfId="0" applyFont="1" applyFill="1" applyBorder="1" applyAlignment="1">
      <alignment vertical="center" wrapText="1"/>
    </xf>
    <xf numFmtId="16" fontId="8" fillId="9" borderId="41" xfId="0" applyNumberFormat="1" applyFont="1" applyFill="1" applyBorder="1" applyAlignment="1">
      <alignment vertical="center" wrapText="1"/>
    </xf>
    <xf numFmtId="16" fontId="0" fillId="0" borderId="0" xfId="0" applyNumberFormat="1"/>
    <xf numFmtId="0" fontId="9" fillId="0" borderId="0" xfId="0" applyFont="1"/>
    <xf numFmtId="16" fontId="5" fillId="0" borderId="1" xfId="0" applyNumberFormat="1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0" fillId="0" borderId="43" xfId="0" applyBorder="1"/>
    <xf numFmtId="0" fontId="0" fillId="0" borderId="32" xfId="0" applyBorder="1"/>
    <xf numFmtId="0" fontId="0" fillId="0" borderId="31" xfId="0" applyBorder="1"/>
    <xf numFmtId="0" fontId="0" fillId="0" borderId="25" xfId="0" applyBorder="1"/>
    <xf numFmtId="0" fontId="0" fillId="0" borderId="17" xfId="0" applyBorder="1"/>
    <xf numFmtId="0" fontId="0" fillId="0" borderId="28" xfId="0" applyBorder="1"/>
    <xf numFmtId="0" fontId="4" fillId="0" borderId="0" xfId="0" applyFont="1"/>
    <xf numFmtId="0" fontId="12" fillId="0" borderId="0" xfId="0" applyFont="1"/>
    <xf numFmtId="0" fontId="12" fillId="0" borderId="26" xfId="0" applyFont="1" applyBorder="1"/>
    <xf numFmtId="0" fontId="12" fillId="0" borderId="11" xfId="0" applyFont="1" applyBorder="1"/>
    <xf numFmtId="0" fontId="4" fillId="2" borderId="25" xfId="0" applyFont="1" applyFill="1" applyBorder="1"/>
    <xf numFmtId="0" fontId="4" fillId="2" borderId="17" xfId="0" applyFont="1" applyFill="1" applyBorder="1"/>
    <xf numFmtId="0" fontId="4" fillId="2" borderId="29" xfId="0" applyFont="1" applyFill="1" applyBorder="1"/>
    <xf numFmtId="0" fontId="4" fillId="2" borderId="28" xfId="0" applyFont="1" applyFill="1" applyBorder="1"/>
    <xf numFmtId="0" fontId="12" fillId="0" borderId="18" xfId="0" applyFont="1" applyBorder="1"/>
    <xf numFmtId="0" fontId="12" fillId="0" borderId="14" xfId="0" applyFont="1" applyBorder="1"/>
    <xf numFmtId="0" fontId="4" fillId="7" borderId="1" xfId="0" applyFont="1" applyFill="1" applyBorder="1" applyAlignment="1">
      <alignment vertical="center"/>
    </xf>
    <xf numFmtId="0" fontId="12" fillId="0" borderId="5" xfId="0" applyFont="1" applyBorder="1"/>
    <xf numFmtId="0" fontId="12" fillId="0" borderId="1" xfId="0" applyFont="1" applyBorder="1"/>
    <xf numFmtId="0" fontId="12" fillId="0" borderId="8" xfId="0" applyFont="1" applyBorder="1"/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4" fontId="12" fillId="0" borderId="1" xfId="0" applyNumberFormat="1" applyFont="1" applyBorder="1"/>
    <xf numFmtId="43" fontId="12" fillId="0" borderId="1" xfId="1" applyFont="1" applyFill="1" applyBorder="1"/>
    <xf numFmtId="0" fontId="12" fillId="0" borderId="1" xfId="0" applyFont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164" fontId="12" fillId="0" borderId="1" xfId="2" applyNumberFormat="1" applyFont="1" applyBorder="1" applyAlignment="1" applyProtection="1">
      <alignment horizontal="center" vertical="center"/>
    </xf>
    <xf numFmtId="0" fontId="12" fillId="3" borderId="15" xfId="0" applyFont="1" applyFill="1" applyBorder="1" applyAlignment="1">
      <alignment vertical="center"/>
    </xf>
    <xf numFmtId="0" fontId="12" fillId="7" borderId="14" xfId="0" applyFont="1" applyFill="1" applyBorder="1"/>
    <xf numFmtId="0" fontId="12" fillId="7" borderId="27" xfId="0" applyFont="1" applyFill="1" applyBorder="1"/>
    <xf numFmtId="0" fontId="8" fillId="0" borderId="0" xfId="0" applyFont="1" applyAlignment="1">
      <alignment horizontal="center"/>
    </xf>
    <xf numFmtId="165" fontId="8" fillId="0" borderId="0" xfId="1" applyNumberFormat="1" applyFont="1" applyBorder="1"/>
    <xf numFmtId="165" fontId="8" fillId="0" borderId="0" xfId="3" applyNumberFormat="1" applyFont="1" applyBorder="1"/>
    <xf numFmtId="165" fontId="8" fillId="0" borderId="44" xfId="3" applyNumberFormat="1" applyFont="1" applyBorder="1"/>
    <xf numFmtId="165" fontId="8" fillId="0" borderId="45" xfId="3" applyNumberFormat="1" applyFont="1" applyBorder="1"/>
    <xf numFmtId="165" fontId="8" fillId="0" borderId="46" xfId="1" applyNumberFormat="1" applyFont="1" applyBorder="1"/>
    <xf numFmtId="0" fontId="0" fillId="0" borderId="1" xfId="0" applyBorder="1"/>
    <xf numFmtId="0" fontId="12" fillId="0" borderId="1" xfId="0" quotePrefix="1" applyFont="1" applyBorder="1"/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/>
    <xf numFmtId="43" fontId="12" fillId="7" borderId="1" xfId="1" applyFont="1" applyFill="1" applyBorder="1"/>
    <xf numFmtId="164" fontId="12" fillId="7" borderId="1" xfId="2" applyNumberFormat="1" applyFont="1" applyFill="1" applyBorder="1" applyAlignment="1" applyProtection="1">
      <alignment horizontal="center" vertical="center"/>
    </xf>
    <xf numFmtId="4" fontId="12" fillId="7" borderId="1" xfId="0" applyNumberFormat="1" applyFont="1" applyFill="1" applyBorder="1"/>
    <xf numFmtId="0" fontId="8" fillId="0" borderId="11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1" xfId="0" applyFont="1" applyBorder="1"/>
    <xf numFmtId="0" fontId="8" fillId="0" borderId="5" xfId="0" applyFont="1" applyBorder="1"/>
    <xf numFmtId="4" fontId="8" fillId="0" borderId="1" xfId="0" applyNumberFormat="1" applyFont="1" applyBorder="1"/>
    <xf numFmtId="43" fontId="8" fillId="0" borderId="1" xfId="1" applyFont="1" applyFill="1" applyBorder="1"/>
    <xf numFmtId="0" fontId="7" fillId="0" borderId="6" xfId="0" applyFont="1" applyBorder="1"/>
    <xf numFmtId="0" fontId="7" fillId="0" borderId="7" xfId="0" applyFont="1" applyBorder="1"/>
    <xf numFmtId="4" fontId="7" fillId="0" borderId="7" xfId="0" applyNumberFormat="1" applyFont="1" applyBorder="1"/>
    <xf numFmtId="4" fontId="7" fillId="0" borderId="9" xfId="0" applyNumberFormat="1" applyFont="1" applyBorder="1"/>
    <xf numFmtId="0" fontId="8" fillId="0" borderId="0" xfId="0" applyFont="1" applyAlignment="1">
      <alignment horizontal="left"/>
    </xf>
    <xf numFmtId="43" fontId="8" fillId="0" borderId="0" xfId="1" applyFont="1" applyFill="1"/>
    <xf numFmtId="0" fontId="14" fillId="0" borderId="0" xfId="0" applyFont="1"/>
    <xf numFmtId="0" fontId="15" fillId="0" borderId="0" xfId="0" applyFont="1"/>
    <xf numFmtId="0" fontId="7" fillId="0" borderId="25" xfId="0" applyFont="1" applyBorder="1"/>
    <xf numFmtId="0" fontId="8" fillId="0" borderId="43" xfId="0" applyFont="1" applyBorder="1"/>
    <xf numFmtId="0" fontId="8" fillId="0" borderId="45" xfId="0" applyFont="1" applyBorder="1"/>
    <xf numFmtId="0" fontId="8" fillId="0" borderId="47" xfId="0" applyFont="1" applyBorder="1"/>
    <xf numFmtId="0" fontId="7" fillId="0" borderId="1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16" fontId="8" fillId="0" borderId="45" xfId="0" applyNumberFormat="1" applyFont="1" applyBorder="1" applyAlignment="1">
      <alignment horizontal="center"/>
    </xf>
    <xf numFmtId="165" fontId="8" fillId="0" borderId="30" xfId="0" applyNumberFormat="1" applyFont="1" applyBorder="1"/>
    <xf numFmtId="165" fontId="8" fillId="0" borderId="33" xfId="0" applyNumberFormat="1" applyFont="1" applyBorder="1"/>
    <xf numFmtId="165" fontId="8" fillId="0" borderId="33" xfId="0" applyNumberFormat="1" applyFont="1" applyBorder="1" applyAlignment="1">
      <alignment horizontal="right"/>
    </xf>
    <xf numFmtId="0" fontId="8" fillId="0" borderId="26" xfId="0" applyFont="1" applyBorder="1"/>
    <xf numFmtId="0" fontId="7" fillId="2" borderId="25" xfId="0" applyFont="1" applyFill="1" applyBorder="1"/>
    <xf numFmtId="0" fontId="7" fillId="2" borderId="17" xfId="0" applyFont="1" applyFill="1" applyBorder="1"/>
    <xf numFmtId="0" fontId="7" fillId="2" borderId="29" xfId="0" applyFont="1" applyFill="1" applyBorder="1"/>
    <xf numFmtId="0" fontId="7" fillId="3" borderId="1" xfId="0" applyFont="1" applyFill="1" applyBorder="1" applyAlignment="1">
      <alignment vertical="center" wrapText="1"/>
    </xf>
    <xf numFmtId="165" fontId="8" fillId="0" borderId="1" xfId="0" applyNumberFormat="1" applyFont="1" applyBorder="1"/>
    <xf numFmtId="0" fontId="7" fillId="2" borderId="6" xfId="0" applyFont="1" applyFill="1" applyBorder="1"/>
    <xf numFmtId="0" fontId="7" fillId="2" borderId="7" xfId="0" applyFont="1" applyFill="1" applyBorder="1"/>
    <xf numFmtId="165" fontId="8" fillId="0" borderId="0" xfId="0" applyNumberFormat="1" applyFont="1"/>
    <xf numFmtId="16" fontId="12" fillId="0" borderId="14" xfId="0" applyNumberFormat="1" applyFont="1" applyBorder="1"/>
    <xf numFmtId="165" fontId="12" fillId="7" borderId="14" xfId="0" applyNumberFormat="1" applyFont="1" applyFill="1" applyBorder="1"/>
    <xf numFmtId="165" fontId="12" fillId="7" borderId="27" xfId="0" applyNumberFormat="1" applyFont="1" applyFill="1" applyBorder="1"/>
    <xf numFmtId="165" fontId="12" fillId="0" borderId="1" xfId="0" applyNumberFormat="1" applyFont="1" applyBorder="1"/>
    <xf numFmtId="165" fontId="12" fillId="0" borderId="8" xfId="0" applyNumberFormat="1" applyFont="1" applyBorder="1"/>
    <xf numFmtId="165" fontId="12" fillId="0" borderId="1" xfId="1" applyNumberFormat="1" applyFont="1" applyFill="1" applyBorder="1"/>
    <xf numFmtId="165" fontId="12" fillId="0" borderId="1" xfId="2" applyNumberFormat="1" applyFont="1" applyBorder="1" applyAlignment="1" applyProtection="1">
      <alignment horizontal="center" vertical="center"/>
    </xf>
    <xf numFmtId="165" fontId="12" fillId="7" borderId="1" xfId="1" applyNumberFormat="1" applyFont="1" applyFill="1" applyBorder="1"/>
    <xf numFmtId="165" fontId="12" fillId="7" borderId="1" xfId="2" applyNumberFormat="1" applyFont="1" applyFill="1" applyBorder="1" applyAlignment="1" applyProtection="1">
      <alignment horizontal="center" vertical="center"/>
    </xf>
    <xf numFmtId="165" fontId="12" fillId="0" borderId="0" xfId="0" applyNumberFormat="1" applyFont="1"/>
    <xf numFmtId="165" fontId="12" fillId="0" borderId="14" xfId="0" applyNumberFormat="1" applyFont="1" applyBorder="1"/>
    <xf numFmtId="165" fontId="8" fillId="0" borderId="1" xfId="0" applyNumberFormat="1" applyFont="1" applyBorder="1" applyAlignment="1">
      <alignment horizontal="right"/>
    </xf>
    <xf numFmtId="165" fontId="7" fillId="6" borderId="1" xfId="0" applyNumberFormat="1" applyFont="1" applyFill="1" applyBorder="1" applyAlignment="1">
      <alignment horizontal="right"/>
    </xf>
    <xf numFmtId="165" fontId="8" fillId="6" borderId="1" xfId="0" applyNumberFormat="1" applyFont="1" applyFill="1" applyBorder="1" applyAlignment="1">
      <alignment horizontal="right"/>
    </xf>
    <xf numFmtId="0" fontId="8" fillId="10" borderId="1" xfId="0" applyFont="1" applyFill="1" applyBorder="1" applyAlignment="1">
      <alignment horizontal="center"/>
    </xf>
    <xf numFmtId="14" fontId="8" fillId="10" borderId="1" xfId="0" applyNumberFormat="1" applyFont="1" applyFill="1" applyBorder="1" applyAlignment="1">
      <alignment horizontal="center"/>
    </xf>
    <xf numFmtId="165" fontId="8" fillId="10" borderId="1" xfId="0" applyNumberFormat="1" applyFont="1" applyFill="1" applyBorder="1"/>
    <xf numFmtId="165" fontId="8" fillId="10" borderId="0" xfId="0" applyNumberFormat="1" applyFont="1" applyFill="1"/>
    <xf numFmtId="165" fontId="8" fillId="10" borderId="1" xfId="0" applyNumberFormat="1" applyFont="1" applyFill="1" applyBorder="1" applyAlignment="1">
      <alignment horizontal="right"/>
    </xf>
    <xf numFmtId="0" fontId="8" fillId="10" borderId="1" xfId="0" applyFont="1" applyFill="1" applyBorder="1"/>
    <xf numFmtId="0" fontId="7" fillId="10" borderId="1" xfId="0" applyFont="1" applyFill="1" applyBorder="1"/>
    <xf numFmtId="0" fontId="12" fillId="7" borderId="1" xfId="0" applyFont="1" applyFill="1" applyBorder="1" applyAlignment="1">
      <alignment vertical="center"/>
    </xf>
    <xf numFmtId="165" fontId="12" fillId="7" borderId="1" xfId="0" applyNumberFormat="1" applyFont="1" applyFill="1" applyBorder="1"/>
    <xf numFmtId="0" fontId="17" fillId="0" borderId="0" xfId="0" applyFont="1"/>
    <xf numFmtId="0" fontId="18" fillId="0" borderId="0" xfId="0" applyFont="1"/>
    <xf numFmtId="0" fontId="7" fillId="2" borderId="30" xfId="0" applyFont="1" applyFill="1" applyBorder="1"/>
    <xf numFmtId="0" fontId="7" fillId="0" borderId="18" xfId="0" applyFont="1" applyBorder="1"/>
    <xf numFmtId="16" fontId="7" fillId="0" borderId="14" xfId="0" applyNumberFormat="1" applyFont="1" applyBorder="1"/>
    <xf numFmtId="0" fontId="7" fillId="0" borderId="14" xfId="0" applyFont="1" applyBorder="1"/>
    <xf numFmtId="165" fontId="7" fillId="0" borderId="14" xfId="0" applyNumberFormat="1" applyFont="1" applyBorder="1"/>
    <xf numFmtId="165" fontId="7" fillId="0" borderId="1" xfId="0" applyNumberFormat="1" applyFont="1" applyBorder="1"/>
    <xf numFmtId="0" fontId="7" fillId="0" borderId="5" xfId="0" applyFont="1" applyBorder="1"/>
    <xf numFmtId="16" fontId="7" fillId="0" borderId="1" xfId="0" applyNumberFormat="1" applyFont="1" applyBorder="1"/>
    <xf numFmtId="0" fontId="7" fillId="0" borderId="1" xfId="0" applyFont="1" applyBorder="1" applyAlignment="1">
      <alignment vertical="center"/>
    </xf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5" fontId="7" fillId="0" borderId="1" xfId="1" applyNumberFormat="1" applyFont="1" applyFill="1" applyBorder="1"/>
    <xf numFmtId="0" fontId="7" fillId="3" borderId="1" xfId="0" applyFont="1" applyFill="1" applyBorder="1" applyAlignment="1">
      <alignment vertical="center"/>
    </xf>
    <xf numFmtId="165" fontId="7" fillId="10" borderId="1" xfId="1" applyNumberFormat="1" applyFont="1" applyFill="1" applyBorder="1"/>
    <xf numFmtId="165" fontId="7" fillId="0" borderId="1" xfId="2" applyNumberFormat="1" applyFont="1" applyBorder="1" applyAlignment="1" applyProtection="1">
      <alignment horizontal="center" vertical="center"/>
    </xf>
    <xf numFmtId="165" fontId="7" fillId="10" borderId="1" xfId="2" applyNumberFormat="1" applyFont="1" applyFill="1" applyBorder="1" applyAlignment="1" applyProtection="1">
      <alignment horizontal="center" vertical="center"/>
    </xf>
    <xf numFmtId="0" fontId="19" fillId="3" borderId="1" xfId="0" applyFont="1" applyFill="1" applyBorder="1" applyAlignment="1">
      <alignment vertical="center"/>
    </xf>
    <xf numFmtId="165" fontId="19" fillId="10" borderId="1" xfId="1" applyNumberFormat="1" applyFont="1" applyFill="1" applyBorder="1"/>
    <xf numFmtId="165" fontId="20" fillId="10" borderId="1" xfId="0" applyNumberFormat="1" applyFont="1" applyFill="1" applyBorder="1"/>
    <xf numFmtId="165" fontId="7" fillId="10" borderId="0" xfId="0" applyNumberFormat="1" applyFont="1" applyFill="1"/>
    <xf numFmtId="14" fontId="7" fillId="0" borderId="1" xfId="0" applyNumberFormat="1" applyFont="1" applyBorder="1" applyAlignment="1">
      <alignment horizontal="left"/>
    </xf>
    <xf numFmtId="14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/>
    <xf numFmtId="165" fontId="7" fillId="3" borderId="1" xfId="1" applyNumberFormat="1" applyFont="1" applyFill="1" applyBorder="1"/>
    <xf numFmtId="165" fontId="7" fillId="3" borderId="0" xfId="0" applyNumberFormat="1" applyFont="1" applyFill="1"/>
    <xf numFmtId="165" fontId="7" fillId="2" borderId="7" xfId="0" applyNumberFormat="1" applyFont="1" applyFill="1" applyBorder="1"/>
    <xf numFmtId="165" fontId="8" fillId="0" borderId="40" xfId="0" applyNumberFormat="1" applyFont="1" applyBorder="1"/>
    <xf numFmtId="14" fontId="12" fillId="7" borderId="1" xfId="0" applyNumberFormat="1" applyFont="1" applyFill="1" applyBorder="1" applyAlignment="1">
      <alignment horizontal="center"/>
    </xf>
    <xf numFmtId="0" fontId="12" fillId="7" borderId="1" xfId="0" quotePrefix="1" applyFont="1" applyFill="1" applyBorder="1"/>
    <xf numFmtId="0" fontId="4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/>
    <xf numFmtId="165" fontId="12" fillId="3" borderId="1" xfId="1" applyNumberFormat="1" applyFont="1" applyFill="1" applyBorder="1"/>
    <xf numFmtId="165" fontId="12" fillId="3" borderId="1" xfId="2" applyNumberFormat="1" applyFont="1" applyFill="1" applyBorder="1" applyAlignment="1" applyProtection="1">
      <alignment horizontal="center" vertical="center"/>
    </xf>
    <xf numFmtId="0" fontId="7" fillId="0" borderId="48" xfId="0" applyFont="1" applyBorder="1"/>
    <xf numFmtId="0" fontId="7" fillId="0" borderId="49" xfId="0" applyFont="1" applyBorder="1"/>
    <xf numFmtId="0" fontId="8" fillId="0" borderId="17" xfId="0" applyFont="1" applyBorder="1"/>
    <xf numFmtId="165" fontId="8" fillId="0" borderId="17" xfId="0" applyNumberFormat="1" applyFont="1" applyBorder="1"/>
    <xf numFmtId="0" fontId="8" fillId="3" borderId="41" xfId="0" applyFont="1" applyFill="1" applyBorder="1" applyAlignment="1">
      <alignment vertical="center" wrapText="1"/>
    </xf>
    <xf numFmtId="0" fontId="8" fillId="3" borderId="42" xfId="0" applyFont="1" applyFill="1" applyBorder="1" applyAlignment="1">
      <alignment vertical="center" wrapText="1"/>
    </xf>
    <xf numFmtId="0" fontId="8" fillId="3" borderId="50" xfId="0" applyFont="1" applyFill="1" applyBorder="1" applyAlignment="1">
      <alignment vertical="center" wrapText="1"/>
    </xf>
    <xf numFmtId="165" fontId="7" fillId="3" borderId="41" xfId="0" applyNumberFormat="1" applyFont="1" applyFill="1" applyBorder="1" applyAlignment="1">
      <alignment horizontal="right" vertical="center" wrapText="1"/>
    </xf>
    <xf numFmtId="165" fontId="7" fillId="3" borderId="42" xfId="0" applyNumberFormat="1" applyFont="1" applyFill="1" applyBorder="1" applyAlignment="1">
      <alignment horizontal="right" vertical="center" wrapText="1"/>
    </xf>
    <xf numFmtId="165" fontId="7" fillId="3" borderId="50" xfId="0" applyNumberFormat="1" applyFont="1" applyFill="1" applyBorder="1" applyAlignment="1">
      <alignment horizontal="right" vertical="center" wrapText="1"/>
    </xf>
    <xf numFmtId="165" fontId="0" fillId="0" borderId="28" xfId="0" applyNumberFormat="1" applyBorder="1"/>
    <xf numFmtId="16" fontId="12" fillId="7" borderId="14" xfId="0" applyNumberFormat="1" applyFont="1" applyFill="1" applyBorder="1"/>
    <xf numFmtId="0" fontId="0" fillId="3" borderId="0" xfId="0" applyFill="1"/>
    <xf numFmtId="14" fontId="12" fillId="3" borderId="1" xfId="0" applyNumberFormat="1" applyFont="1" applyFill="1" applyBorder="1" applyAlignment="1">
      <alignment horizontal="center"/>
    </xf>
    <xf numFmtId="165" fontId="12" fillId="3" borderId="1" xfId="0" applyNumberFormat="1" applyFont="1" applyFill="1" applyBorder="1"/>
    <xf numFmtId="43" fontId="12" fillId="3" borderId="1" xfId="1" applyFont="1" applyFill="1" applyBorder="1"/>
    <xf numFmtId="165" fontId="0" fillId="0" borderId="1" xfId="0" applyNumberFormat="1" applyBorder="1"/>
    <xf numFmtId="0" fontId="0" fillId="7" borderId="1" xfId="0" applyFill="1" applyBorder="1"/>
    <xf numFmtId="165" fontId="0" fillId="7" borderId="1" xfId="0" applyNumberFormat="1" applyFill="1" applyBorder="1"/>
    <xf numFmtId="0" fontId="21" fillId="0" borderId="0" xfId="0" applyFont="1"/>
    <xf numFmtId="0" fontId="21" fillId="0" borderId="1" xfId="0" applyFont="1" applyBorder="1"/>
    <xf numFmtId="0" fontId="8" fillId="0" borderId="1" xfId="0" applyFont="1" applyBorder="1" applyAlignment="1">
      <alignment vertical="center"/>
    </xf>
    <xf numFmtId="0" fontId="4" fillId="11" borderId="25" xfId="0" applyFont="1" applyFill="1" applyBorder="1"/>
    <xf numFmtId="0" fontId="4" fillId="11" borderId="17" xfId="0" applyFont="1" applyFill="1" applyBorder="1"/>
    <xf numFmtId="0" fontId="12" fillId="11" borderId="18" xfId="0" applyFont="1" applyFill="1" applyBorder="1"/>
    <xf numFmtId="16" fontId="12" fillId="11" borderId="14" xfId="0" applyNumberFormat="1" applyFont="1" applyFill="1" applyBorder="1"/>
    <xf numFmtId="0" fontId="12" fillId="11" borderId="5" xfId="0" applyFont="1" applyFill="1" applyBorder="1"/>
    <xf numFmtId="14" fontId="12" fillId="11" borderId="1" xfId="0" applyNumberFormat="1" applyFont="1" applyFill="1" applyBorder="1" applyAlignment="1">
      <alignment horizontal="center"/>
    </xf>
    <xf numFmtId="0" fontId="8" fillId="11" borderId="41" xfId="0" applyFont="1" applyFill="1" applyBorder="1" applyAlignment="1">
      <alignment vertical="center" wrapText="1"/>
    </xf>
    <xf numFmtId="0" fontId="8" fillId="11" borderId="14" xfId="0" applyFont="1" applyFill="1" applyBorder="1"/>
    <xf numFmtId="165" fontId="22" fillId="11" borderId="1" xfId="0" applyNumberFormat="1" applyFont="1" applyFill="1" applyBorder="1"/>
    <xf numFmtId="165" fontId="22" fillId="11" borderId="0" xfId="0" applyNumberFormat="1" applyFont="1" applyFill="1"/>
    <xf numFmtId="0" fontId="8" fillId="11" borderId="42" xfId="0" applyFont="1" applyFill="1" applyBorder="1" applyAlignment="1">
      <alignment vertical="center" wrapText="1"/>
    </xf>
    <xf numFmtId="0" fontId="8" fillId="11" borderId="1" xfId="0" applyFont="1" applyFill="1" applyBorder="1"/>
    <xf numFmtId="165" fontId="8" fillId="11" borderId="8" xfId="0" applyNumberFormat="1" applyFont="1" applyFill="1" applyBorder="1"/>
    <xf numFmtId="165" fontId="22" fillId="11" borderId="1" xfId="0" applyNumberFormat="1" applyFont="1" applyFill="1" applyBorder="1" applyAlignment="1">
      <alignment horizontal="right"/>
    </xf>
    <xf numFmtId="165" fontId="8" fillId="11" borderId="27" xfId="0" applyNumberFormat="1" applyFont="1" applyFill="1" applyBorder="1"/>
    <xf numFmtId="165" fontId="8" fillId="11" borderId="8" xfId="1" applyNumberFormat="1" applyFont="1" applyFill="1" applyBorder="1"/>
    <xf numFmtId="165" fontId="8" fillId="11" borderId="0" xfId="0" applyNumberFormat="1" applyFont="1" applyFill="1"/>
    <xf numFmtId="165" fontId="22" fillId="11" borderId="0" xfId="0" applyNumberFormat="1" applyFont="1" applyFill="1" applyAlignment="1">
      <alignment horizontal="right"/>
    </xf>
    <xf numFmtId="0" fontId="22" fillId="11" borderId="42" xfId="0" applyFont="1" applyFill="1" applyBorder="1" applyAlignment="1">
      <alignment vertical="center" wrapText="1"/>
    </xf>
    <xf numFmtId="165" fontId="8" fillId="11" borderId="8" xfId="2" applyNumberFormat="1" applyFont="1" applyFill="1" applyBorder="1" applyAlignment="1" applyProtection="1">
      <alignment horizontal="center" vertical="center"/>
    </xf>
    <xf numFmtId="0" fontId="8" fillId="11" borderId="50" xfId="0" applyFont="1" applyFill="1" applyBorder="1" applyAlignment="1">
      <alignment vertical="center" wrapText="1"/>
    </xf>
    <xf numFmtId="0" fontId="22" fillId="11" borderId="41" xfId="0" applyFont="1" applyFill="1" applyBorder="1" applyAlignment="1">
      <alignment vertical="center" wrapText="1"/>
    </xf>
    <xf numFmtId="0" fontId="22" fillId="11" borderId="1" xfId="0" applyFont="1" applyFill="1" applyBorder="1"/>
    <xf numFmtId="0" fontId="22" fillId="11" borderId="0" xfId="0" applyFont="1" applyFill="1"/>
    <xf numFmtId="0" fontId="8" fillId="11" borderId="17" xfId="0" applyFont="1" applyFill="1" applyBorder="1"/>
    <xf numFmtId="0" fontId="8" fillId="11" borderId="51" xfId="0" applyFont="1" applyFill="1" applyBorder="1"/>
    <xf numFmtId="0" fontId="8" fillId="11" borderId="25" xfId="0" applyFont="1" applyFill="1" applyBorder="1"/>
    <xf numFmtId="165" fontId="8" fillId="12" borderId="1" xfId="0" applyNumberFormat="1" applyFont="1" applyFill="1" applyBorder="1"/>
    <xf numFmtId="165" fontId="23" fillId="12" borderId="1" xfId="0" applyNumberFormat="1" applyFont="1" applyFill="1" applyBorder="1"/>
    <xf numFmtId="0" fontId="12" fillId="3" borderId="1" xfId="0" quotePrefix="1" applyFont="1" applyFill="1" applyBorder="1"/>
    <xf numFmtId="0" fontId="0" fillId="0" borderId="52" xfId="0" applyBorder="1"/>
    <xf numFmtId="9" fontId="8" fillId="0" borderId="28" xfId="0" applyNumberFormat="1" applyFont="1" applyBorder="1" applyAlignment="1">
      <alignment horizontal="center"/>
    </xf>
    <xf numFmtId="0" fontId="8" fillId="0" borderId="53" xfId="0" applyFont="1" applyBorder="1"/>
    <xf numFmtId="0" fontId="8" fillId="0" borderId="18" xfId="0" applyFont="1" applyBorder="1"/>
    <xf numFmtId="0" fontId="8" fillId="0" borderId="49" xfId="0" applyFont="1" applyBorder="1" applyAlignment="1">
      <alignment horizontal="center"/>
    </xf>
    <xf numFmtId="0" fontId="0" fillId="0" borderId="33" xfId="0" applyBorder="1"/>
    <xf numFmtId="0" fontId="0" fillId="0" borderId="5" xfId="0" applyBorder="1"/>
    <xf numFmtId="165" fontId="0" fillId="0" borderId="0" xfId="0" applyNumberFormat="1"/>
    <xf numFmtId="0" fontId="2" fillId="0" borderId="2" xfId="0" applyFont="1" applyBorder="1" applyAlignment="1">
      <alignment horizontal="center"/>
    </xf>
    <xf numFmtId="43" fontId="1" fillId="0" borderId="8" xfId="1" applyFont="1" applyFill="1" applyBorder="1" applyAlignment="1">
      <alignment horizontal="center"/>
    </xf>
    <xf numFmtId="43" fontId="1" fillId="0" borderId="12" xfId="1" applyFont="1" applyFill="1" applyBorder="1" applyAlignment="1">
      <alignment horizontal="center"/>
    </xf>
    <xf numFmtId="43" fontId="1" fillId="0" borderId="15" xfId="1" applyFont="1" applyFill="1" applyBorder="1" applyAlignment="1">
      <alignment horizontal="center" vertical="center"/>
    </xf>
    <xf numFmtId="43" fontId="1" fillId="0" borderId="16" xfId="1" applyFont="1" applyFill="1" applyBorder="1" applyAlignment="1">
      <alignment horizontal="center" vertical="center"/>
    </xf>
    <xf numFmtId="43" fontId="1" fillId="0" borderId="14" xfId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6" fillId="5" borderId="0" xfId="0" applyFont="1" applyFill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Medium9"/>
  <colors>
    <mruColors>
      <color rgb="FFB9E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25066</xdr:colOff>
      <xdr:row>3</xdr:row>
      <xdr:rowOff>25066</xdr:rowOff>
    </xdr:from>
    <xdr:to>
      <xdr:col>6</xdr:col>
      <xdr:colOff>25066</xdr:colOff>
      <xdr:row>13</xdr:row>
      <xdr:rowOff>120951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4D629D-CB0B-9CE0-D069-C685F0776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66" y="25066"/>
          <a:ext cx="8647697" cy="1975819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7</xdr:col>
      <xdr:colOff>25066</xdr:colOff>
      <xdr:row>3</xdr:row>
      <xdr:rowOff>25066</xdr:rowOff>
    </xdr:from>
    <xdr:ext cx="8647697" cy="1975819"/>
    <xdr:pic>
      <xdr:nvPicPr>
        <xdr:cNvPr id="3" name="Imagem 1">
          <a:extLst>
            <a:ext uri="{FF2B5EF4-FFF2-40B4-BE49-F238E27FC236}">
              <a16:creationId xmlns:a16="http://schemas.microsoft.com/office/drawing/2014/main" id="{427DC932-F9CA-430F-9B4E-E82CED4A2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66" y="25066"/>
          <a:ext cx="8647697" cy="197581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25066</xdr:colOff>
      <xdr:row>41</xdr:row>
      <xdr:rowOff>25066</xdr:rowOff>
    </xdr:from>
    <xdr:ext cx="8647697" cy="1975819"/>
    <xdr:pic>
      <xdr:nvPicPr>
        <xdr:cNvPr id="4" name="Imagem 1">
          <a:extLst>
            <a:ext uri="{FF2B5EF4-FFF2-40B4-BE49-F238E27FC236}">
              <a16:creationId xmlns:a16="http://schemas.microsoft.com/office/drawing/2014/main" id="{5DA5ABEB-0FE4-4A90-B584-68EBF5195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66" y="25066"/>
          <a:ext cx="8647697" cy="197581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7</xdr:col>
      <xdr:colOff>25066</xdr:colOff>
      <xdr:row>41</xdr:row>
      <xdr:rowOff>25066</xdr:rowOff>
    </xdr:from>
    <xdr:ext cx="8647697" cy="1975819"/>
    <xdr:pic>
      <xdr:nvPicPr>
        <xdr:cNvPr id="5" name="Imagem 1">
          <a:extLst>
            <a:ext uri="{FF2B5EF4-FFF2-40B4-BE49-F238E27FC236}">
              <a16:creationId xmlns:a16="http://schemas.microsoft.com/office/drawing/2014/main" id="{27BDE0B6-A2C2-471D-9E85-9948DBDD1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6875" y="25066"/>
          <a:ext cx="8647697" cy="197581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37599</xdr:rowOff>
    </xdr:from>
    <xdr:to>
      <xdr:col>8</xdr:col>
      <xdr:colOff>104775</xdr:colOff>
      <xdr:row>10</xdr:row>
      <xdr:rowOff>133484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C20D88-3E9B-44AA-835B-6C62CDC6E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599"/>
          <a:ext cx="8648700" cy="20008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47626</xdr:rowOff>
    </xdr:from>
    <xdr:to>
      <xdr:col>6</xdr:col>
      <xdr:colOff>38100</xdr:colOff>
      <xdr:row>8</xdr:row>
      <xdr:rowOff>180976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1C3A152-8576-43F2-947F-F3E0B2A62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7626"/>
          <a:ext cx="8648700" cy="1657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4"/>
  <sheetViews>
    <sheetView view="pageBreakPreview" topLeftCell="A56" zoomScale="88" zoomScaleNormal="100" zoomScaleSheetLayoutView="130" workbookViewId="0">
      <selection activeCell="C78" sqref="C78"/>
    </sheetView>
  </sheetViews>
  <sheetFormatPr defaultColWidth="9.140625" defaultRowHeight="15" x14ac:dyDescent="0.25"/>
  <cols>
    <col min="1" max="1" width="5" style="1" customWidth="1"/>
    <col min="2" max="2" width="13.7109375" style="1" customWidth="1"/>
    <col min="3" max="3" width="57.7109375" style="1" bestFit="1" customWidth="1"/>
    <col min="4" max="5" width="13.140625" style="1" bestFit="1" customWidth="1"/>
    <col min="6" max="6" width="14.5703125" style="1" bestFit="1" customWidth="1"/>
    <col min="7" max="7" width="38" style="1" customWidth="1"/>
    <col min="8" max="8" width="6.28515625" style="1" hidden="1" customWidth="1"/>
    <col min="9" max="9" width="12.85546875" style="1" customWidth="1"/>
    <col min="10" max="16384" width="9.140625" style="1"/>
  </cols>
  <sheetData>
    <row r="1" spans="1:7" s="4" customFormat="1" x14ac:dyDescent="0.25">
      <c r="A1" s="4" t="s">
        <v>31</v>
      </c>
      <c r="E1" s="4" t="s">
        <v>282</v>
      </c>
    </row>
    <row r="2" spans="1:7" x14ac:dyDescent="0.25">
      <c r="A2" s="1" t="s">
        <v>22</v>
      </c>
    </row>
    <row r="3" spans="1:7" x14ac:dyDescent="0.25">
      <c r="A3" s="1" t="s">
        <v>21</v>
      </c>
    </row>
    <row r="5" spans="1:7" s="4" customFormat="1" ht="15.75" thickBot="1" x14ac:dyDescent="0.3">
      <c r="A5" s="298" t="s">
        <v>6</v>
      </c>
      <c r="B5" s="298"/>
      <c r="C5" s="298"/>
      <c r="D5" s="298"/>
      <c r="E5" s="298"/>
      <c r="F5" s="298"/>
      <c r="G5" s="298"/>
    </row>
    <row r="6" spans="1:7" ht="15.75" thickTop="1" x14ac:dyDescent="0.25"/>
    <row r="7" spans="1:7" x14ac:dyDescent="0.25">
      <c r="A7" s="4" t="s">
        <v>101</v>
      </c>
    </row>
    <row r="8" spans="1:7" ht="15.75" thickBot="1" x14ac:dyDescent="0.3">
      <c r="A8" s="298">
        <v>2025</v>
      </c>
      <c r="B8" s="298"/>
      <c r="C8" s="298"/>
      <c r="D8" s="298"/>
      <c r="E8" s="298"/>
      <c r="F8" s="298"/>
      <c r="G8" s="298"/>
    </row>
    <row r="9" spans="1:7" ht="16.5" thickTop="1" thickBot="1" x14ac:dyDescent="0.3">
      <c r="G9" s="17"/>
    </row>
    <row r="10" spans="1:7" s="4" customFormat="1" ht="27.75" customHeight="1" x14ac:dyDescent="0.25">
      <c r="A10" s="18" t="s">
        <v>0</v>
      </c>
      <c r="B10" s="19" t="s">
        <v>1</v>
      </c>
      <c r="C10" s="19" t="s">
        <v>2</v>
      </c>
      <c r="D10" s="19" t="s">
        <v>7</v>
      </c>
      <c r="E10" s="19" t="s">
        <v>8</v>
      </c>
      <c r="F10" s="19" t="s">
        <v>9</v>
      </c>
      <c r="G10" s="19" t="s">
        <v>3</v>
      </c>
    </row>
    <row r="11" spans="1:7" ht="14.25" customHeight="1" x14ac:dyDescent="0.25">
      <c r="A11" s="7">
        <v>1</v>
      </c>
      <c r="B11" s="2"/>
      <c r="C11" s="2" t="s">
        <v>103</v>
      </c>
      <c r="D11" s="2"/>
      <c r="E11" s="2"/>
      <c r="F11" s="2">
        <v>457885.89</v>
      </c>
      <c r="G11" s="2"/>
    </row>
    <row r="12" spans="1:7" x14ac:dyDescent="0.25">
      <c r="A12" s="7">
        <v>2</v>
      </c>
      <c r="B12" s="13">
        <v>45870</v>
      </c>
      <c r="C12" s="2" t="s">
        <v>104</v>
      </c>
      <c r="D12" s="14">
        <v>203058.68</v>
      </c>
      <c r="E12" s="14"/>
      <c r="F12" s="14">
        <f>+F11+D12-E12</f>
        <v>660944.57000000007</v>
      </c>
      <c r="G12" s="14"/>
    </row>
    <row r="13" spans="1:7" x14ac:dyDescent="0.25">
      <c r="A13" s="7">
        <v>3</v>
      </c>
      <c r="B13" s="13">
        <v>45874</v>
      </c>
      <c r="C13" s="2" t="s">
        <v>105</v>
      </c>
      <c r="D13" s="14"/>
      <c r="E13" s="14">
        <v>10915</v>
      </c>
      <c r="F13" s="14">
        <f t="shared" ref="F13:F76" si="0">+F12+D13-E13</f>
        <v>650029.57000000007</v>
      </c>
      <c r="G13" s="14"/>
    </row>
    <row r="14" spans="1:7" x14ac:dyDescent="0.25">
      <c r="A14" s="7">
        <v>4</v>
      </c>
      <c r="B14" s="13">
        <v>45880</v>
      </c>
      <c r="C14" s="2" t="s">
        <v>106</v>
      </c>
      <c r="D14" s="14"/>
      <c r="E14" s="14">
        <v>8637.11</v>
      </c>
      <c r="F14" s="14">
        <f t="shared" si="0"/>
        <v>641392.46000000008</v>
      </c>
      <c r="G14" s="14"/>
    </row>
    <row r="15" spans="1:7" x14ac:dyDescent="0.25">
      <c r="A15" s="7">
        <v>5</v>
      </c>
      <c r="B15" s="13">
        <v>45880</v>
      </c>
      <c r="C15" s="2" t="s">
        <v>107</v>
      </c>
      <c r="D15" s="14">
        <v>1106553</v>
      </c>
      <c r="E15" s="14"/>
      <c r="F15" s="14">
        <f t="shared" si="0"/>
        <v>1747945.46</v>
      </c>
      <c r="G15" s="14"/>
    </row>
    <row r="16" spans="1:7" x14ac:dyDescent="0.25">
      <c r="A16" s="7">
        <v>6</v>
      </c>
      <c r="B16" s="13">
        <v>45881</v>
      </c>
      <c r="C16" s="2" t="s">
        <v>108</v>
      </c>
      <c r="D16" s="14"/>
      <c r="E16" s="14">
        <v>687341.15</v>
      </c>
      <c r="F16" s="14">
        <f t="shared" si="0"/>
        <v>1060604.31</v>
      </c>
      <c r="G16" s="14"/>
    </row>
    <row r="17" spans="1:9" x14ac:dyDescent="0.25">
      <c r="A17" s="7">
        <v>7</v>
      </c>
      <c r="B17" s="13">
        <v>45883</v>
      </c>
      <c r="C17" s="2" t="s">
        <v>109</v>
      </c>
      <c r="D17" s="14"/>
      <c r="E17" s="14">
        <v>80000</v>
      </c>
      <c r="F17" s="14">
        <f t="shared" si="0"/>
        <v>980604.31</v>
      </c>
      <c r="G17" s="14"/>
    </row>
    <row r="18" spans="1:9" x14ac:dyDescent="0.25">
      <c r="A18" s="7">
        <v>8</v>
      </c>
      <c r="B18" s="13">
        <v>45883</v>
      </c>
      <c r="C18" s="2" t="s">
        <v>108</v>
      </c>
      <c r="D18" s="14"/>
      <c r="E18" s="14">
        <v>138749.51999999999</v>
      </c>
      <c r="F18" s="14">
        <f t="shared" si="0"/>
        <v>841854.79</v>
      </c>
      <c r="G18" s="14"/>
    </row>
    <row r="19" spans="1:9" x14ac:dyDescent="0.25">
      <c r="A19" s="7">
        <v>9</v>
      </c>
      <c r="B19" s="13">
        <v>45890</v>
      </c>
      <c r="C19" s="2" t="s">
        <v>108</v>
      </c>
      <c r="D19" s="14"/>
      <c r="E19" s="14">
        <v>193977.86</v>
      </c>
      <c r="F19" s="14">
        <f t="shared" si="0"/>
        <v>647876.93000000005</v>
      </c>
      <c r="G19" s="14"/>
    </row>
    <row r="20" spans="1:9" x14ac:dyDescent="0.25">
      <c r="A20" s="7">
        <v>10</v>
      </c>
      <c r="B20" s="13">
        <v>45890</v>
      </c>
      <c r="C20" s="2" t="s">
        <v>110</v>
      </c>
      <c r="D20" s="14"/>
      <c r="E20" s="14">
        <v>99.75</v>
      </c>
      <c r="F20" s="14">
        <f t="shared" si="0"/>
        <v>647777.18000000005</v>
      </c>
      <c r="G20" s="14"/>
    </row>
    <row r="21" spans="1:9" x14ac:dyDescent="0.25">
      <c r="A21" s="7">
        <v>11</v>
      </c>
      <c r="B21" s="13">
        <v>45890</v>
      </c>
      <c r="C21" s="2" t="s">
        <v>111</v>
      </c>
      <c r="D21" s="14"/>
      <c r="E21" s="14">
        <v>2</v>
      </c>
      <c r="F21" s="14">
        <f t="shared" si="0"/>
        <v>647775.18000000005</v>
      </c>
      <c r="G21" s="14"/>
    </row>
    <row r="22" spans="1:9" x14ac:dyDescent="0.25">
      <c r="A22" s="7">
        <v>12</v>
      </c>
      <c r="B22" s="13">
        <v>45891</v>
      </c>
      <c r="C22" s="2" t="s">
        <v>36</v>
      </c>
      <c r="D22" s="14"/>
      <c r="E22" s="14">
        <v>8685.7199999999993</v>
      </c>
      <c r="F22" s="14">
        <f t="shared" si="0"/>
        <v>639089.46000000008</v>
      </c>
      <c r="G22" s="14"/>
    </row>
    <row r="23" spans="1:9" x14ac:dyDescent="0.25">
      <c r="A23" s="7">
        <v>13</v>
      </c>
      <c r="B23" s="13">
        <v>45897</v>
      </c>
      <c r="C23" s="2" t="s">
        <v>112</v>
      </c>
      <c r="D23" s="14">
        <v>130000</v>
      </c>
      <c r="E23" s="14"/>
      <c r="F23" s="14">
        <f t="shared" si="0"/>
        <v>769089.46000000008</v>
      </c>
      <c r="G23" s="14"/>
    </row>
    <row r="24" spans="1:9" x14ac:dyDescent="0.25">
      <c r="A24" s="7">
        <v>14</v>
      </c>
      <c r="B24" s="13">
        <v>45897</v>
      </c>
      <c r="C24" s="2" t="s">
        <v>113</v>
      </c>
      <c r="D24" s="14"/>
      <c r="E24" s="14">
        <v>11000</v>
      </c>
      <c r="F24" s="14">
        <f t="shared" si="0"/>
        <v>758089.46000000008</v>
      </c>
      <c r="G24" s="14"/>
    </row>
    <row r="25" spans="1:9" x14ac:dyDescent="0.25">
      <c r="A25" s="7">
        <v>15</v>
      </c>
      <c r="B25" s="13">
        <v>45897</v>
      </c>
      <c r="C25" s="2" t="s">
        <v>283</v>
      </c>
      <c r="D25" s="14"/>
      <c r="E25" s="14">
        <v>65000</v>
      </c>
      <c r="F25" s="14">
        <f t="shared" si="0"/>
        <v>693089.46000000008</v>
      </c>
      <c r="G25" s="14"/>
    </row>
    <row r="26" spans="1:9" x14ac:dyDescent="0.25">
      <c r="A26" s="7">
        <v>16</v>
      </c>
      <c r="B26" s="13"/>
      <c r="C26" s="2" t="s">
        <v>110</v>
      </c>
      <c r="D26" s="14"/>
      <c r="E26" s="14">
        <v>126</v>
      </c>
      <c r="F26" s="14">
        <f t="shared" si="0"/>
        <v>692963.46000000008</v>
      </c>
      <c r="G26" s="299"/>
      <c r="H26" s="300"/>
      <c r="I26" s="39"/>
    </row>
    <row r="27" spans="1:9" x14ac:dyDescent="0.25">
      <c r="A27" s="7">
        <v>17</v>
      </c>
      <c r="B27" s="13"/>
      <c r="C27" s="2"/>
      <c r="D27" s="14"/>
      <c r="E27" s="14">
        <v>3.2</v>
      </c>
      <c r="F27" s="14">
        <f t="shared" si="0"/>
        <v>692960.26000000013</v>
      </c>
      <c r="G27" s="14"/>
    </row>
    <row r="28" spans="1:9" x14ac:dyDescent="0.25">
      <c r="A28" s="7">
        <v>18</v>
      </c>
      <c r="B28" s="13"/>
      <c r="C28" s="2"/>
      <c r="D28" s="14"/>
      <c r="E28" s="14">
        <v>51000</v>
      </c>
      <c r="F28" s="14">
        <f t="shared" si="0"/>
        <v>641960.26000000013</v>
      </c>
      <c r="G28" s="14"/>
    </row>
    <row r="29" spans="1:9" x14ac:dyDescent="0.25">
      <c r="A29" s="7">
        <v>19</v>
      </c>
      <c r="B29" s="13"/>
      <c r="C29" s="2"/>
      <c r="D29" s="14"/>
      <c r="E29" s="14">
        <v>31500</v>
      </c>
      <c r="F29" s="14">
        <f t="shared" si="0"/>
        <v>610460.26000000013</v>
      </c>
      <c r="G29" s="14"/>
    </row>
    <row r="30" spans="1:9" x14ac:dyDescent="0.25">
      <c r="A30" s="7">
        <v>20</v>
      </c>
      <c r="B30" s="13"/>
      <c r="C30" s="2"/>
      <c r="D30" s="14"/>
      <c r="E30" s="14">
        <v>630</v>
      </c>
      <c r="F30" s="14">
        <f t="shared" si="0"/>
        <v>609830.26000000013</v>
      </c>
      <c r="G30" s="14"/>
    </row>
    <row r="31" spans="1:9" x14ac:dyDescent="0.25">
      <c r="A31" s="7">
        <v>21</v>
      </c>
      <c r="B31" s="13"/>
      <c r="C31" s="2"/>
      <c r="D31" s="14">
        <v>384097.9</v>
      </c>
      <c r="E31" s="14"/>
      <c r="F31" s="14">
        <f t="shared" si="0"/>
        <v>993928.16000000015</v>
      </c>
      <c r="G31" s="14"/>
    </row>
    <row r="32" spans="1:9" x14ac:dyDescent="0.25">
      <c r="A32" s="7">
        <v>22</v>
      </c>
      <c r="B32" s="13"/>
      <c r="C32" s="2"/>
      <c r="D32" s="14"/>
      <c r="E32" s="14">
        <v>15500</v>
      </c>
      <c r="F32" s="14">
        <f t="shared" si="0"/>
        <v>978428.16000000015</v>
      </c>
      <c r="G32" s="14"/>
    </row>
    <row r="33" spans="1:7" x14ac:dyDescent="0.25">
      <c r="A33" s="7">
        <v>23</v>
      </c>
      <c r="B33" s="13"/>
      <c r="C33" s="2"/>
      <c r="D33" s="14"/>
      <c r="E33" s="14">
        <v>291384.82</v>
      </c>
      <c r="F33" s="14">
        <f t="shared" si="0"/>
        <v>687043.34000000008</v>
      </c>
      <c r="G33" s="14"/>
    </row>
    <row r="34" spans="1:7" x14ac:dyDescent="0.25">
      <c r="A34" s="7"/>
      <c r="B34" s="13"/>
      <c r="C34" s="2"/>
      <c r="D34" s="14">
        <v>31500</v>
      </c>
      <c r="E34" s="14"/>
      <c r="F34" s="14">
        <f t="shared" si="0"/>
        <v>718543.34000000008</v>
      </c>
      <c r="G34" s="14"/>
    </row>
    <row r="35" spans="1:7" x14ac:dyDescent="0.25">
      <c r="A35" s="7"/>
      <c r="B35" s="13"/>
      <c r="C35" s="2"/>
      <c r="D35" s="14">
        <v>630</v>
      </c>
      <c r="E35" s="14"/>
      <c r="F35" s="14">
        <f t="shared" si="0"/>
        <v>719173.34000000008</v>
      </c>
      <c r="G35" s="14"/>
    </row>
    <row r="36" spans="1:7" x14ac:dyDescent="0.25">
      <c r="A36" s="7"/>
      <c r="B36" s="13"/>
      <c r="C36" s="2"/>
      <c r="D36" s="14"/>
      <c r="E36" s="14">
        <v>954</v>
      </c>
      <c r="F36" s="14">
        <f t="shared" si="0"/>
        <v>718219.34000000008</v>
      </c>
      <c r="G36" s="14"/>
    </row>
    <row r="37" spans="1:7" x14ac:dyDescent="0.25">
      <c r="A37" s="7"/>
      <c r="B37" s="13"/>
      <c r="C37" s="2"/>
      <c r="D37" s="14"/>
      <c r="E37" s="14">
        <v>18.899999999999999</v>
      </c>
      <c r="F37" s="14">
        <f t="shared" si="0"/>
        <v>718200.44000000006</v>
      </c>
      <c r="G37" s="14"/>
    </row>
    <row r="38" spans="1:7" x14ac:dyDescent="0.25">
      <c r="A38" s="7"/>
      <c r="B38" s="13"/>
      <c r="C38" s="2"/>
      <c r="D38" s="14"/>
      <c r="E38" s="14">
        <v>45000</v>
      </c>
      <c r="F38" s="14">
        <f t="shared" si="0"/>
        <v>673200.44000000006</v>
      </c>
      <c r="G38" s="14"/>
    </row>
    <row r="39" spans="1:7" x14ac:dyDescent="0.25">
      <c r="A39" s="7"/>
      <c r="B39" s="13"/>
      <c r="C39" s="2"/>
      <c r="D39" s="14">
        <v>40209.11</v>
      </c>
      <c r="E39" s="14"/>
      <c r="F39" s="14">
        <f t="shared" si="0"/>
        <v>713409.55</v>
      </c>
      <c r="G39" s="14"/>
    </row>
    <row r="40" spans="1:7" x14ac:dyDescent="0.25">
      <c r="A40" s="7"/>
      <c r="B40" s="13"/>
      <c r="C40" s="2"/>
      <c r="D40" s="14"/>
      <c r="E40" s="14">
        <v>30000</v>
      </c>
      <c r="F40" s="14">
        <f t="shared" si="0"/>
        <v>683409.55</v>
      </c>
      <c r="G40" s="14"/>
    </row>
    <row r="41" spans="1:7" x14ac:dyDescent="0.25">
      <c r="A41" s="7"/>
      <c r="B41" s="13"/>
      <c r="C41" s="2"/>
      <c r="D41" s="14"/>
      <c r="E41" s="14">
        <v>315</v>
      </c>
      <c r="F41" s="14">
        <f t="shared" si="0"/>
        <v>683094.55</v>
      </c>
      <c r="G41" s="14"/>
    </row>
    <row r="42" spans="1:7" x14ac:dyDescent="0.25">
      <c r="A42" s="7"/>
      <c r="B42" s="13"/>
      <c r="C42" s="2"/>
      <c r="D42" s="14"/>
      <c r="E42" s="14">
        <v>6.3</v>
      </c>
      <c r="F42" s="14">
        <f t="shared" si="0"/>
        <v>683088.25</v>
      </c>
      <c r="G42" s="14"/>
    </row>
    <row r="43" spans="1:7" x14ac:dyDescent="0.25">
      <c r="A43" s="7"/>
      <c r="B43" s="13"/>
      <c r="C43" s="2"/>
      <c r="D43" s="14"/>
      <c r="E43" s="14">
        <v>265000</v>
      </c>
      <c r="F43" s="14">
        <f t="shared" si="0"/>
        <v>418088.25</v>
      </c>
      <c r="G43" s="14"/>
    </row>
    <row r="44" spans="1:7" x14ac:dyDescent="0.25">
      <c r="A44" s="7"/>
      <c r="B44" s="13"/>
      <c r="C44" s="2"/>
      <c r="D44" s="14"/>
      <c r="E44" s="14">
        <v>126</v>
      </c>
      <c r="F44" s="14">
        <f t="shared" si="0"/>
        <v>417962.25</v>
      </c>
      <c r="G44" s="14"/>
    </row>
    <row r="45" spans="1:7" x14ac:dyDescent="0.25">
      <c r="A45" s="7"/>
      <c r="B45" s="13"/>
      <c r="C45" s="2"/>
      <c r="D45" s="14"/>
      <c r="E45" s="14">
        <v>3.2</v>
      </c>
      <c r="F45" s="14">
        <f t="shared" si="0"/>
        <v>417959.05</v>
      </c>
      <c r="G45" s="14"/>
    </row>
    <row r="46" spans="1:7" x14ac:dyDescent="0.25">
      <c r="A46" s="7"/>
      <c r="B46" s="13"/>
      <c r="C46" s="2"/>
      <c r="D46" s="14">
        <v>30000</v>
      </c>
      <c r="E46" s="14"/>
      <c r="F46" s="14">
        <f t="shared" si="0"/>
        <v>447959.05</v>
      </c>
      <c r="G46" s="14"/>
    </row>
    <row r="47" spans="1:7" x14ac:dyDescent="0.25">
      <c r="A47" s="7"/>
      <c r="B47" s="13"/>
      <c r="C47" s="2"/>
      <c r="D47" s="14"/>
      <c r="E47" s="14">
        <v>62968.74</v>
      </c>
      <c r="F47" s="14">
        <f t="shared" si="0"/>
        <v>384990.31</v>
      </c>
      <c r="G47" s="14"/>
    </row>
    <row r="48" spans="1:7" x14ac:dyDescent="0.25">
      <c r="A48" s="7"/>
      <c r="B48" s="13"/>
      <c r="C48" s="2"/>
      <c r="D48" s="14"/>
      <c r="E48" s="14">
        <v>30000</v>
      </c>
      <c r="F48" s="14">
        <f t="shared" si="0"/>
        <v>354990.31</v>
      </c>
      <c r="G48" s="14"/>
    </row>
    <row r="49" spans="1:7" x14ac:dyDescent="0.25">
      <c r="A49" s="7"/>
      <c r="B49" s="13"/>
      <c r="C49" s="2"/>
      <c r="D49" s="14"/>
      <c r="E49" s="14">
        <v>315</v>
      </c>
      <c r="F49" s="14">
        <f t="shared" si="0"/>
        <v>354675.31</v>
      </c>
      <c r="G49" s="14"/>
    </row>
    <row r="50" spans="1:7" x14ac:dyDescent="0.25">
      <c r="A50" s="7"/>
      <c r="B50" s="13"/>
      <c r="C50" s="2"/>
      <c r="D50" s="14"/>
      <c r="E50" s="14">
        <v>6.3</v>
      </c>
      <c r="F50" s="14">
        <f t="shared" si="0"/>
        <v>354669.01</v>
      </c>
      <c r="G50" s="14"/>
    </row>
    <row r="51" spans="1:7" x14ac:dyDescent="0.25">
      <c r="A51" s="7"/>
      <c r="B51" s="13"/>
      <c r="C51" s="2"/>
      <c r="D51" s="14">
        <v>1050022.53</v>
      </c>
      <c r="E51" s="14"/>
      <c r="F51" s="14">
        <f t="shared" si="0"/>
        <v>1404691.54</v>
      </c>
      <c r="G51" s="14"/>
    </row>
    <row r="52" spans="1:7" x14ac:dyDescent="0.25">
      <c r="A52" s="7"/>
      <c r="B52" s="13"/>
      <c r="C52" s="2"/>
      <c r="D52" s="14"/>
      <c r="E52" s="14">
        <v>911501.53</v>
      </c>
      <c r="F52" s="14">
        <f t="shared" si="0"/>
        <v>493190.01</v>
      </c>
      <c r="G52" s="14"/>
    </row>
    <row r="53" spans="1:7" x14ac:dyDescent="0.25">
      <c r="A53" s="7"/>
      <c r="B53" s="13"/>
      <c r="C53" s="2"/>
      <c r="D53" s="14"/>
      <c r="E53" s="14">
        <v>50000</v>
      </c>
      <c r="F53" s="14">
        <f t="shared" si="0"/>
        <v>443190.01</v>
      </c>
      <c r="G53" s="23"/>
    </row>
    <row r="54" spans="1:7" x14ac:dyDescent="0.25">
      <c r="A54" s="7"/>
      <c r="B54" s="13"/>
      <c r="C54" s="2"/>
      <c r="D54" s="14">
        <v>1192435.32</v>
      </c>
      <c r="E54" s="14"/>
      <c r="F54" s="14">
        <f t="shared" si="0"/>
        <v>1635625.33</v>
      </c>
      <c r="G54" s="23"/>
    </row>
    <row r="55" spans="1:7" x14ac:dyDescent="0.25">
      <c r="A55" s="7"/>
      <c r="B55" s="13"/>
      <c r="C55" s="2"/>
      <c r="D55" s="14"/>
      <c r="E55" s="14">
        <v>1105783.55</v>
      </c>
      <c r="F55" s="14">
        <f t="shared" si="0"/>
        <v>529841.78</v>
      </c>
      <c r="G55" s="23"/>
    </row>
    <row r="56" spans="1:7" x14ac:dyDescent="0.25">
      <c r="A56" s="7"/>
      <c r="B56" s="13"/>
      <c r="C56" s="2"/>
      <c r="D56" s="14"/>
      <c r="E56" s="14">
        <v>99.75</v>
      </c>
      <c r="F56" s="14">
        <f t="shared" si="0"/>
        <v>529742.03</v>
      </c>
      <c r="G56" s="23"/>
    </row>
    <row r="57" spans="1:7" x14ac:dyDescent="0.25">
      <c r="A57" s="7"/>
      <c r="B57" s="13"/>
      <c r="C57" s="2"/>
      <c r="D57" s="14"/>
      <c r="E57" s="14">
        <v>2</v>
      </c>
      <c r="F57" s="14">
        <f t="shared" si="0"/>
        <v>529740.03</v>
      </c>
      <c r="G57" s="23"/>
    </row>
    <row r="58" spans="1:7" x14ac:dyDescent="0.25">
      <c r="A58" s="7"/>
      <c r="B58" s="13"/>
      <c r="C58" s="2"/>
      <c r="D58" s="14">
        <v>574836.09</v>
      </c>
      <c r="E58" s="14"/>
      <c r="F58" s="14">
        <f t="shared" si="0"/>
        <v>1104576.1200000001</v>
      </c>
      <c r="G58" s="23"/>
    </row>
    <row r="59" spans="1:7" x14ac:dyDescent="0.25">
      <c r="A59" s="7"/>
      <c r="B59" s="13"/>
      <c r="C59" s="2"/>
      <c r="D59" s="14"/>
      <c r="E59" s="14">
        <v>45000</v>
      </c>
      <c r="F59" s="14">
        <f t="shared" si="0"/>
        <v>1059576.1200000001</v>
      </c>
      <c r="G59" s="23"/>
    </row>
    <row r="60" spans="1:7" x14ac:dyDescent="0.25">
      <c r="A60" s="7"/>
      <c r="B60" s="13"/>
      <c r="C60" s="2"/>
      <c r="D60" s="14"/>
      <c r="E60" s="14">
        <v>80000</v>
      </c>
      <c r="F60" s="14">
        <f t="shared" si="0"/>
        <v>979576.12000000011</v>
      </c>
      <c r="G60" s="23"/>
    </row>
    <row r="61" spans="1:7" x14ac:dyDescent="0.25">
      <c r="A61" s="7"/>
      <c r="B61" s="13"/>
      <c r="C61" s="2"/>
      <c r="D61" s="14"/>
      <c r="E61" s="14">
        <v>126</v>
      </c>
      <c r="F61" s="14">
        <f t="shared" si="0"/>
        <v>979450.12000000011</v>
      </c>
      <c r="G61" s="23"/>
    </row>
    <row r="62" spans="1:7" x14ac:dyDescent="0.25">
      <c r="A62" s="7"/>
      <c r="B62" s="13"/>
      <c r="C62" s="2"/>
      <c r="D62" s="14"/>
      <c r="E62" s="14">
        <v>3.2</v>
      </c>
      <c r="F62" s="14">
        <f t="shared" si="0"/>
        <v>979446.92000000016</v>
      </c>
      <c r="G62" s="23"/>
    </row>
    <row r="63" spans="1:7" x14ac:dyDescent="0.25">
      <c r="A63" s="7"/>
      <c r="B63" s="13"/>
      <c r="C63" s="2"/>
      <c r="D63" s="14"/>
      <c r="E63" s="14">
        <v>33733.33</v>
      </c>
      <c r="F63" s="14">
        <f t="shared" si="0"/>
        <v>945713.5900000002</v>
      </c>
      <c r="G63" s="23"/>
    </row>
    <row r="64" spans="1:7" x14ac:dyDescent="0.25">
      <c r="A64" s="7"/>
      <c r="B64" s="13"/>
      <c r="C64" s="2"/>
      <c r="D64" s="14"/>
      <c r="E64" s="14">
        <v>630</v>
      </c>
      <c r="F64" s="14">
        <f t="shared" si="0"/>
        <v>945083.5900000002</v>
      </c>
      <c r="G64" s="23"/>
    </row>
    <row r="65" spans="1:7" x14ac:dyDescent="0.25">
      <c r="A65" s="7"/>
      <c r="B65" s="13"/>
      <c r="C65" s="2"/>
      <c r="D65" s="14"/>
      <c r="E65" s="14">
        <v>12.6</v>
      </c>
      <c r="F65" s="14">
        <f t="shared" si="0"/>
        <v>945070.99000000022</v>
      </c>
      <c r="G65" s="23"/>
    </row>
    <row r="66" spans="1:7" x14ac:dyDescent="0.25">
      <c r="A66" s="7"/>
      <c r="B66" s="13"/>
      <c r="C66" s="2"/>
      <c r="D66" s="14"/>
      <c r="E66" s="14">
        <v>209128.72</v>
      </c>
      <c r="F66" s="14">
        <f t="shared" si="0"/>
        <v>735942.27000000025</v>
      </c>
      <c r="G66" s="23"/>
    </row>
    <row r="67" spans="1:7" x14ac:dyDescent="0.25">
      <c r="A67" s="7"/>
      <c r="B67" s="13"/>
      <c r="C67" s="2"/>
      <c r="D67" s="14"/>
      <c r="E67" s="14">
        <v>45000</v>
      </c>
      <c r="F67" s="14">
        <f t="shared" si="0"/>
        <v>690942.27000000025</v>
      </c>
      <c r="G67" s="23"/>
    </row>
    <row r="68" spans="1:7" x14ac:dyDescent="0.25">
      <c r="A68" s="7"/>
      <c r="B68" s="13"/>
      <c r="C68" s="2"/>
      <c r="D68" s="14">
        <v>465940.87</v>
      </c>
      <c r="E68" s="14"/>
      <c r="F68" s="14">
        <f t="shared" si="0"/>
        <v>1156883.1400000001</v>
      </c>
      <c r="G68" s="23"/>
    </row>
    <row r="69" spans="1:7" x14ac:dyDescent="0.25">
      <c r="A69" s="7"/>
      <c r="B69" s="13"/>
      <c r="C69" s="2"/>
      <c r="D69" s="14"/>
      <c r="E69" s="14">
        <v>100000</v>
      </c>
      <c r="F69" s="14">
        <f t="shared" si="0"/>
        <v>1056883.1400000001</v>
      </c>
      <c r="G69" s="23"/>
    </row>
    <row r="70" spans="1:7" x14ac:dyDescent="0.25">
      <c r="A70" s="7"/>
      <c r="B70" s="13"/>
      <c r="C70" s="2"/>
      <c r="D70" s="14">
        <v>800077.98</v>
      </c>
      <c r="E70" s="14"/>
      <c r="F70" s="14">
        <f t="shared" si="0"/>
        <v>1856961.12</v>
      </c>
      <c r="G70" s="23"/>
    </row>
    <row r="71" spans="1:7" x14ac:dyDescent="0.25">
      <c r="A71" s="7"/>
      <c r="B71" s="13"/>
      <c r="C71" s="2"/>
      <c r="D71" s="14"/>
      <c r="E71" s="14">
        <v>1118808.25</v>
      </c>
      <c r="F71" s="14">
        <f t="shared" si="0"/>
        <v>738152.87000000011</v>
      </c>
      <c r="G71" s="14"/>
    </row>
    <row r="72" spans="1:7" x14ac:dyDescent="0.25">
      <c r="A72" s="7"/>
      <c r="B72" s="13"/>
      <c r="C72" s="2"/>
      <c r="D72" s="14">
        <v>10000</v>
      </c>
      <c r="E72" s="14"/>
      <c r="F72" s="14">
        <f t="shared" si="0"/>
        <v>748152.87000000011</v>
      </c>
      <c r="G72" s="14"/>
    </row>
    <row r="73" spans="1:7" x14ac:dyDescent="0.25">
      <c r="A73" s="7"/>
      <c r="B73" s="13"/>
      <c r="C73" s="2"/>
      <c r="D73" s="14">
        <v>1000000</v>
      </c>
      <c r="E73" s="14"/>
      <c r="F73" s="14">
        <f t="shared" si="0"/>
        <v>1748152.87</v>
      </c>
      <c r="G73" s="14"/>
    </row>
    <row r="74" spans="1:7" x14ac:dyDescent="0.25">
      <c r="A74" s="7"/>
      <c r="B74" s="13"/>
      <c r="C74" s="2"/>
      <c r="D74" s="14"/>
      <c r="E74" s="14">
        <v>60000</v>
      </c>
      <c r="F74" s="14">
        <f t="shared" si="0"/>
        <v>1688152.87</v>
      </c>
      <c r="G74" s="14"/>
    </row>
    <row r="75" spans="1:7" x14ac:dyDescent="0.25">
      <c r="A75" s="7"/>
      <c r="B75" s="13"/>
      <c r="C75" s="2"/>
      <c r="D75" s="14">
        <v>1639419.84</v>
      </c>
      <c r="E75" s="14"/>
      <c r="F75" s="14">
        <f t="shared" si="0"/>
        <v>3327572.71</v>
      </c>
      <c r="G75" s="14"/>
    </row>
    <row r="76" spans="1:7" x14ac:dyDescent="0.25">
      <c r="A76" s="7"/>
      <c r="B76" s="13"/>
      <c r="C76" s="2"/>
      <c r="D76" s="14"/>
      <c r="E76" s="14">
        <v>1500000</v>
      </c>
      <c r="F76" s="14">
        <f t="shared" si="0"/>
        <v>1827572.71</v>
      </c>
      <c r="G76" s="14"/>
    </row>
    <row r="77" spans="1:7" x14ac:dyDescent="0.25">
      <c r="A77" s="7"/>
      <c r="B77" s="13"/>
      <c r="C77" s="2"/>
      <c r="D77" s="14"/>
      <c r="E77" s="14">
        <v>200000</v>
      </c>
      <c r="F77" s="14">
        <f t="shared" ref="F77:F140" si="1">+F76+D77-E77</f>
        <v>1627572.71</v>
      </c>
      <c r="G77" s="14"/>
    </row>
    <row r="78" spans="1:7" x14ac:dyDescent="0.25">
      <c r="A78" s="7"/>
      <c r="B78" s="13"/>
      <c r="C78" s="2"/>
      <c r="D78" s="14"/>
      <c r="E78" s="14">
        <v>1283541.3899999999</v>
      </c>
      <c r="F78" s="14">
        <f t="shared" si="1"/>
        <v>344031.32000000007</v>
      </c>
      <c r="G78" s="14"/>
    </row>
    <row r="79" spans="1:7" x14ac:dyDescent="0.25">
      <c r="A79" s="7"/>
      <c r="B79" s="13"/>
      <c r="C79" s="2"/>
      <c r="D79" s="14"/>
      <c r="E79" s="14">
        <v>30000</v>
      </c>
      <c r="F79" s="14">
        <f t="shared" si="1"/>
        <v>314031.32000000007</v>
      </c>
      <c r="G79" s="14"/>
    </row>
    <row r="80" spans="1:7" x14ac:dyDescent="0.25">
      <c r="A80" s="7"/>
      <c r="B80" s="13"/>
      <c r="C80" s="2"/>
      <c r="D80" s="14"/>
      <c r="E80" s="14">
        <v>7000</v>
      </c>
      <c r="F80" s="14">
        <f t="shared" si="1"/>
        <v>307031.32000000007</v>
      </c>
      <c r="G80" s="301"/>
    </row>
    <row r="81" spans="1:7" x14ac:dyDescent="0.25">
      <c r="A81" s="7"/>
      <c r="B81" s="13"/>
      <c r="C81" s="2"/>
      <c r="D81" s="14"/>
      <c r="E81" s="14">
        <v>15000</v>
      </c>
      <c r="F81" s="14">
        <f t="shared" si="1"/>
        <v>292031.32000000007</v>
      </c>
      <c r="G81" s="302"/>
    </row>
    <row r="82" spans="1:7" x14ac:dyDescent="0.25">
      <c r="A82" s="7"/>
      <c r="B82" s="13"/>
      <c r="C82" s="2"/>
      <c r="D82" s="14"/>
      <c r="E82" s="14"/>
      <c r="F82" s="14">
        <f t="shared" si="1"/>
        <v>292031.32000000007</v>
      </c>
      <c r="G82" s="302"/>
    </row>
    <row r="83" spans="1:7" x14ac:dyDescent="0.25">
      <c r="A83" s="7"/>
      <c r="B83" s="13"/>
      <c r="C83" s="2"/>
      <c r="D83" s="14"/>
      <c r="E83" s="14"/>
      <c r="F83" s="14">
        <f t="shared" si="1"/>
        <v>292031.32000000007</v>
      </c>
      <c r="G83" s="302"/>
    </row>
    <row r="84" spans="1:7" x14ac:dyDescent="0.25">
      <c r="A84" s="7"/>
      <c r="B84" s="13"/>
      <c r="C84" s="2"/>
      <c r="D84" s="14"/>
      <c r="E84" s="14"/>
      <c r="F84" s="14">
        <f t="shared" si="1"/>
        <v>292031.32000000007</v>
      </c>
      <c r="G84" s="302"/>
    </row>
    <row r="85" spans="1:7" x14ac:dyDescent="0.25">
      <c r="A85" s="7"/>
      <c r="B85" s="13"/>
      <c r="C85" s="2"/>
      <c r="D85" s="14"/>
      <c r="E85" s="14"/>
      <c r="F85" s="14">
        <f t="shared" si="1"/>
        <v>292031.32000000007</v>
      </c>
      <c r="G85" s="302"/>
    </row>
    <row r="86" spans="1:7" x14ac:dyDescent="0.25">
      <c r="A86" s="7"/>
      <c r="B86" s="13"/>
      <c r="C86" s="2"/>
      <c r="D86" s="14"/>
      <c r="E86" s="14"/>
      <c r="F86" s="14">
        <f t="shared" si="1"/>
        <v>292031.32000000007</v>
      </c>
      <c r="G86" s="302"/>
    </row>
    <row r="87" spans="1:7" x14ac:dyDescent="0.25">
      <c r="A87" s="7"/>
      <c r="B87" s="13"/>
      <c r="C87" s="2"/>
      <c r="D87" s="14"/>
      <c r="E87" s="14"/>
      <c r="F87" s="14">
        <f t="shared" si="1"/>
        <v>292031.32000000007</v>
      </c>
      <c r="G87" s="302"/>
    </row>
    <row r="88" spans="1:7" x14ac:dyDescent="0.25">
      <c r="A88" s="7"/>
      <c r="B88" s="13"/>
      <c r="C88" s="2"/>
      <c r="D88" s="14"/>
      <c r="E88" s="14"/>
      <c r="F88" s="14">
        <f t="shared" si="1"/>
        <v>292031.32000000007</v>
      </c>
      <c r="G88" s="302"/>
    </row>
    <row r="89" spans="1:7" x14ac:dyDescent="0.25">
      <c r="A89" s="7"/>
      <c r="B89" s="13"/>
      <c r="C89" s="2"/>
      <c r="D89" s="14"/>
      <c r="E89" s="14"/>
      <c r="F89" s="14">
        <f t="shared" si="1"/>
        <v>292031.32000000007</v>
      </c>
      <c r="G89" s="302"/>
    </row>
    <row r="90" spans="1:7" x14ac:dyDescent="0.25">
      <c r="A90" s="7"/>
      <c r="B90" s="13"/>
      <c r="C90" s="2"/>
      <c r="D90" s="14"/>
      <c r="E90" s="14"/>
      <c r="F90" s="14">
        <f t="shared" si="1"/>
        <v>292031.32000000007</v>
      </c>
      <c r="G90" s="302"/>
    </row>
    <row r="91" spans="1:7" x14ac:dyDescent="0.25">
      <c r="A91" s="7"/>
      <c r="B91" s="13"/>
      <c r="C91" s="2"/>
      <c r="D91" s="14"/>
      <c r="E91" s="14"/>
      <c r="F91" s="14">
        <f t="shared" si="1"/>
        <v>292031.32000000007</v>
      </c>
      <c r="G91" s="302"/>
    </row>
    <row r="92" spans="1:7" x14ac:dyDescent="0.25">
      <c r="A92" s="7"/>
      <c r="B92" s="13"/>
      <c r="C92" s="2"/>
      <c r="D92" s="14"/>
      <c r="E92" s="14"/>
      <c r="F92" s="14">
        <f t="shared" si="1"/>
        <v>292031.32000000007</v>
      </c>
      <c r="G92" s="302"/>
    </row>
    <row r="93" spans="1:7" x14ac:dyDescent="0.25">
      <c r="A93" s="7"/>
      <c r="B93" s="13"/>
      <c r="C93" s="2"/>
      <c r="D93" s="14"/>
      <c r="E93" s="14"/>
      <c r="F93" s="14">
        <f t="shared" si="1"/>
        <v>292031.32000000007</v>
      </c>
      <c r="G93" s="303"/>
    </row>
    <row r="94" spans="1:7" x14ac:dyDescent="0.25">
      <c r="A94" s="7"/>
      <c r="B94" s="13"/>
      <c r="C94" s="2"/>
      <c r="D94" s="14"/>
      <c r="E94" s="14"/>
      <c r="F94" s="14">
        <f t="shared" si="1"/>
        <v>292031.32000000007</v>
      </c>
      <c r="G94" s="14"/>
    </row>
    <row r="95" spans="1:7" x14ac:dyDescent="0.25">
      <c r="A95" s="7"/>
      <c r="B95" s="13"/>
      <c r="C95" s="2"/>
      <c r="D95" s="14"/>
      <c r="E95" s="14"/>
      <c r="F95" s="14">
        <f t="shared" si="1"/>
        <v>292031.32000000007</v>
      </c>
      <c r="G95" s="14"/>
    </row>
    <row r="96" spans="1:7" x14ac:dyDescent="0.25">
      <c r="A96" s="7"/>
      <c r="B96" s="13"/>
      <c r="C96" s="2"/>
      <c r="D96" s="14"/>
      <c r="E96" s="14"/>
      <c r="F96" s="14">
        <f t="shared" si="1"/>
        <v>292031.32000000007</v>
      </c>
      <c r="G96" s="14"/>
    </row>
    <row r="97" spans="1:7" x14ac:dyDescent="0.25">
      <c r="A97" s="7"/>
      <c r="B97" s="13"/>
      <c r="C97" s="2"/>
      <c r="D97" s="14"/>
      <c r="E97" s="14"/>
      <c r="F97" s="14">
        <f t="shared" si="1"/>
        <v>292031.32000000007</v>
      </c>
      <c r="G97" s="14"/>
    </row>
    <row r="98" spans="1:7" x14ac:dyDescent="0.25">
      <c r="A98" s="40"/>
      <c r="B98" s="13"/>
      <c r="C98" s="2"/>
      <c r="D98" s="14"/>
      <c r="E98" s="14"/>
      <c r="F98" s="14">
        <f t="shared" si="1"/>
        <v>292031.32000000007</v>
      </c>
      <c r="G98" s="14"/>
    </row>
    <row r="99" spans="1:7" x14ac:dyDescent="0.25">
      <c r="A99" s="7"/>
      <c r="B99" s="13"/>
      <c r="C99" s="2"/>
      <c r="D99" s="14"/>
      <c r="E99" s="14"/>
      <c r="F99" s="14">
        <f t="shared" si="1"/>
        <v>292031.32000000007</v>
      </c>
      <c r="G99" s="14"/>
    </row>
    <row r="100" spans="1:7" x14ac:dyDescent="0.25">
      <c r="A100" s="7"/>
      <c r="B100" s="13"/>
      <c r="C100" s="2"/>
      <c r="D100" s="14"/>
      <c r="E100" s="14"/>
      <c r="F100" s="14">
        <f t="shared" si="1"/>
        <v>292031.32000000007</v>
      </c>
      <c r="G100" s="14"/>
    </row>
    <row r="101" spans="1:7" x14ac:dyDescent="0.25">
      <c r="A101" s="7"/>
      <c r="B101" s="13"/>
      <c r="C101" s="2"/>
      <c r="D101" s="14"/>
      <c r="E101" s="14"/>
      <c r="F101" s="14">
        <f t="shared" si="1"/>
        <v>292031.32000000007</v>
      </c>
      <c r="G101" s="14"/>
    </row>
    <row r="102" spans="1:7" x14ac:dyDescent="0.25">
      <c r="A102" s="7"/>
      <c r="B102" s="13"/>
      <c r="C102" s="2"/>
      <c r="D102" s="14"/>
      <c r="E102" s="14"/>
      <c r="F102" s="14">
        <f t="shared" si="1"/>
        <v>292031.32000000007</v>
      </c>
      <c r="G102" s="14"/>
    </row>
    <row r="103" spans="1:7" x14ac:dyDescent="0.25">
      <c r="A103" s="7"/>
      <c r="B103" s="13"/>
      <c r="C103" s="2"/>
      <c r="D103" s="14"/>
      <c r="E103" s="14"/>
      <c r="F103" s="14">
        <f t="shared" si="1"/>
        <v>292031.32000000007</v>
      </c>
      <c r="G103" s="14"/>
    </row>
    <row r="104" spans="1:7" x14ac:dyDescent="0.25">
      <c r="A104" s="7"/>
      <c r="B104" s="13"/>
      <c r="C104" s="2"/>
      <c r="D104" s="14"/>
      <c r="E104" s="14"/>
      <c r="F104" s="14">
        <f t="shared" si="1"/>
        <v>292031.32000000007</v>
      </c>
      <c r="G104" s="14"/>
    </row>
    <row r="105" spans="1:7" x14ac:dyDescent="0.25">
      <c r="A105" s="7"/>
      <c r="B105" s="13"/>
      <c r="C105" s="2"/>
      <c r="D105" s="14"/>
      <c r="E105" s="14"/>
      <c r="F105" s="14">
        <f t="shared" si="1"/>
        <v>292031.32000000007</v>
      </c>
      <c r="G105" s="14"/>
    </row>
    <row r="106" spans="1:7" x14ac:dyDescent="0.25">
      <c r="A106" s="7"/>
      <c r="B106" s="13"/>
      <c r="C106" s="2"/>
      <c r="D106" s="14"/>
      <c r="E106" s="14"/>
      <c r="F106" s="14">
        <f t="shared" si="1"/>
        <v>292031.32000000007</v>
      </c>
      <c r="G106" s="14"/>
    </row>
    <row r="107" spans="1:7" x14ac:dyDescent="0.25">
      <c r="A107" s="7"/>
      <c r="B107" s="13"/>
      <c r="C107" s="2"/>
      <c r="D107" s="14"/>
      <c r="E107" s="14"/>
      <c r="F107" s="14">
        <f t="shared" si="1"/>
        <v>292031.32000000007</v>
      </c>
      <c r="G107" s="14"/>
    </row>
    <row r="108" spans="1:7" x14ac:dyDescent="0.25">
      <c r="A108" s="7"/>
      <c r="B108" s="13"/>
      <c r="C108" s="2"/>
      <c r="D108" s="14"/>
      <c r="E108" s="14"/>
      <c r="F108" s="14">
        <f t="shared" si="1"/>
        <v>292031.32000000007</v>
      </c>
      <c r="G108" s="14"/>
    </row>
    <row r="109" spans="1:7" x14ac:dyDescent="0.25">
      <c r="A109" s="7"/>
      <c r="B109" s="13"/>
      <c r="C109" s="2"/>
      <c r="D109" s="14"/>
      <c r="E109" s="14"/>
      <c r="F109" s="14">
        <f t="shared" si="1"/>
        <v>292031.32000000007</v>
      </c>
      <c r="G109" s="14"/>
    </row>
    <row r="110" spans="1:7" x14ac:dyDescent="0.25">
      <c r="A110" s="7"/>
      <c r="B110" s="13"/>
      <c r="C110" s="2"/>
      <c r="D110" s="14"/>
      <c r="E110" s="14"/>
      <c r="F110" s="14">
        <f t="shared" si="1"/>
        <v>292031.32000000007</v>
      </c>
      <c r="G110" s="14"/>
    </row>
    <row r="111" spans="1:7" x14ac:dyDescent="0.25">
      <c r="A111" s="7"/>
      <c r="B111" s="13"/>
      <c r="C111" s="2"/>
      <c r="D111" s="14"/>
      <c r="E111" s="14"/>
      <c r="F111" s="14">
        <f t="shared" si="1"/>
        <v>292031.32000000007</v>
      </c>
      <c r="G111" s="14"/>
    </row>
    <row r="112" spans="1:7" x14ac:dyDescent="0.25">
      <c r="A112" s="7"/>
      <c r="B112" s="13"/>
      <c r="C112" s="2"/>
      <c r="D112" s="14"/>
      <c r="E112" s="14"/>
      <c r="F112" s="14">
        <f t="shared" si="1"/>
        <v>292031.32000000007</v>
      </c>
      <c r="G112" s="14"/>
    </row>
    <row r="113" spans="1:7" x14ac:dyDescent="0.25">
      <c r="A113" s="7"/>
      <c r="B113" s="13"/>
      <c r="C113" s="2"/>
      <c r="D113" s="14"/>
      <c r="E113" s="14"/>
      <c r="F113" s="14">
        <f t="shared" si="1"/>
        <v>292031.32000000007</v>
      </c>
      <c r="G113" s="14"/>
    </row>
    <row r="114" spans="1:7" x14ac:dyDescent="0.25">
      <c r="A114" s="7"/>
      <c r="B114" s="13"/>
      <c r="C114" s="2"/>
      <c r="D114" s="14"/>
      <c r="E114" s="14"/>
      <c r="F114" s="14">
        <f t="shared" si="1"/>
        <v>292031.32000000007</v>
      </c>
      <c r="G114" s="14"/>
    </row>
    <row r="115" spans="1:7" x14ac:dyDescent="0.25">
      <c r="A115" s="7"/>
      <c r="B115" s="13"/>
      <c r="C115" s="2"/>
      <c r="D115" s="14"/>
      <c r="E115" s="14"/>
      <c r="F115" s="14">
        <f t="shared" si="1"/>
        <v>292031.32000000007</v>
      </c>
      <c r="G115" s="14"/>
    </row>
    <row r="116" spans="1:7" x14ac:dyDescent="0.25">
      <c r="A116" s="7"/>
      <c r="B116" s="13"/>
      <c r="C116" s="2"/>
      <c r="D116" s="14"/>
      <c r="E116" s="14"/>
      <c r="F116" s="14">
        <f t="shared" si="1"/>
        <v>292031.32000000007</v>
      </c>
      <c r="G116" s="14"/>
    </row>
    <row r="117" spans="1:7" x14ac:dyDescent="0.25">
      <c r="A117" s="7"/>
      <c r="B117" s="13"/>
      <c r="C117" s="2"/>
      <c r="D117" s="14"/>
      <c r="E117" s="14"/>
      <c r="F117" s="14">
        <f t="shared" si="1"/>
        <v>292031.32000000007</v>
      </c>
      <c r="G117" s="14"/>
    </row>
    <row r="118" spans="1:7" x14ac:dyDescent="0.25">
      <c r="A118" s="7"/>
      <c r="B118" s="13"/>
      <c r="C118" s="2"/>
      <c r="D118" s="14"/>
      <c r="E118" s="14"/>
      <c r="F118" s="14">
        <f t="shared" si="1"/>
        <v>292031.32000000007</v>
      </c>
      <c r="G118" s="14"/>
    </row>
    <row r="119" spans="1:7" x14ac:dyDescent="0.25">
      <c r="A119" s="7"/>
      <c r="B119" s="13"/>
      <c r="C119" s="2"/>
      <c r="D119" s="14"/>
      <c r="E119" s="14"/>
      <c r="F119" s="14">
        <f t="shared" si="1"/>
        <v>292031.32000000007</v>
      </c>
      <c r="G119" s="14"/>
    </row>
    <row r="120" spans="1:7" x14ac:dyDescent="0.25">
      <c r="A120" s="7"/>
      <c r="B120" s="13"/>
      <c r="C120" s="2"/>
      <c r="D120" s="14"/>
      <c r="E120" s="14"/>
      <c r="F120" s="14">
        <f t="shared" si="1"/>
        <v>292031.32000000007</v>
      </c>
      <c r="G120" s="14"/>
    </row>
    <row r="121" spans="1:7" x14ac:dyDescent="0.25">
      <c r="A121" s="7"/>
      <c r="B121" s="13"/>
      <c r="C121" s="2"/>
      <c r="D121" s="14"/>
      <c r="E121" s="14"/>
      <c r="F121" s="14">
        <f t="shared" si="1"/>
        <v>292031.32000000007</v>
      </c>
      <c r="G121" s="14"/>
    </row>
    <row r="122" spans="1:7" x14ac:dyDescent="0.25">
      <c r="A122" s="7"/>
      <c r="B122" s="13"/>
      <c r="C122" s="2"/>
      <c r="D122" s="14"/>
      <c r="E122" s="14"/>
      <c r="F122" s="14">
        <f t="shared" si="1"/>
        <v>292031.32000000007</v>
      </c>
      <c r="G122" s="14"/>
    </row>
    <row r="123" spans="1:7" x14ac:dyDescent="0.25">
      <c r="A123" s="7"/>
      <c r="B123" s="13"/>
      <c r="C123" s="2"/>
      <c r="D123" s="14"/>
      <c r="E123" s="14"/>
      <c r="F123" s="14">
        <f t="shared" si="1"/>
        <v>292031.32000000007</v>
      </c>
      <c r="G123" s="14"/>
    </row>
    <row r="124" spans="1:7" x14ac:dyDescent="0.25">
      <c r="A124" s="7"/>
      <c r="B124" s="13"/>
      <c r="C124" s="2"/>
      <c r="D124" s="14"/>
      <c r="E124" s="14"/>
      <c r="F124" s="14">
        <f t="shared" si="1"/>
        <v>292031.32000000007</v>
      </c>
      <c r="G124" s="14"/>
    </row>
    <row r="125" spans="1:7" x14ac:dyDescent="0.25">
      <c r="A125" s="7"/>
      <c r="B125" s="13"/>
      <c r="C125" s="2"/>
      <c r="D125" s="14"/>
      <c r="E125" s="14"/>
      <c r="F125" s="14">
        <f t="shared" si="1"/>
        <v>292031.32000000007</v>
      </c>
      <c r="G125" s="14"/>
    </row>
    <row r="126" spans="1:7" x14ac:dyDescent="0.25">
      <c r="A126" s="7"/>
      <c r="B126" s="13"/>
      <c r="C126" s="2"/>
      <c r="D126" s="14"/>
      <c r="E126" s="14"/>
      <c r="F126" s="14">
        <f t="shared" si="1"/>
        <v>292031.32000000007</v>
      </c>
      <c r="G126" s="14"/>
    </row>
    <row r="127" spans="1:7" x14ac:dyDescent="0.25">
      <c r="A127" s="7"/>
      <c r="B127" s="13"/>
      <c r="C127" s="2"/>
      <c r="D127" s="14"/>
      <c r="E127" s="14"/>
      <c r="F127" s="14">
        <f t="shared" si="1"/>
        <v>292031.32000000007</v>
      </c>
      <c r="G127" s="14"/>
    </row>
    <row r="128" spans="1:7" x14ac:dyDescent="0.25">
      <c r="A128" s="7"/>
      <c r="B128" s="13"/>
      <c r="C128" s="2"/>
      <c r="D128" s="14"/>
      <c r="E128" s="14"/>
      <c r="F128" s="14">
        <f t="shared" si="1"/>
        <v>292031.32000000007</v>
      </c>
      <c r="G128" s="14"/>
    </row>
    <row r="129" spans="1:7" x14ac:dyDescent="0.25">
      <c r="A129" s="7"/>
      <c r="B129" s="13"/>
      <c r="C129" s="2"/>
      <c r="D129" s="14"/>
      <c r="E129" s="14"/>
      <c r="F129" s="14">
        <f t="shared" si="1"/>
        <v>292031.32000000007</v>
      </c>
      <c r="G129" s="14"/>
    </row>
    <row r="130" spans="1:7" x14ac:dyDescent="0.25">
      <c r="A130" s="7"/>
      <c r="B130" s="13"/>
      <c r="C130" s="2"/>
      <c r="D130" s="14"/>
      <c r="E130" s="14"/>
      <c r="F130" s="14">
        <f t="shared" si="1"/>
        <v>292031.32000000007</v>
      </c>
      <c r="G130" s="14"/>
    </row>
    <row r="131" spans="1:7" x14ac:dyDescent="0.25">
      <c r="A131" s="7"/>
      <c r="B131" s="13"/>
      <c r="C131" s="2"/>
      <c r="D131" s="14"/>
      <c r="E131" s="14"/>
      <c r="F131" s="14">
        <f t="shared" si="1"/>
        <v>292031.32000000007</v>
      </c>
      <c r="G131" s="14"/>
    </row>
    <row r="132" spans="1:7" x14ac:dyDescent="0.25">
      <c r="A132" s="7"/>
      <c r="B132" s="13"/>
      <c r="C132" s="2"/>
      <c r="D132" s="14"/>
      <c r="E132" s="14"/>
      <c r="F132" s="14">
        <f t="shared" si="1"/>
        <v>292031.32000000007</v>
      </c>
      <c r="G132" s="14"/>
    </row>
    <row r="133" spans="1:7" x14ac:dyDescent="0.25">
      <c r="A133" s="7"/>
      <c r="B133" s="13"/>
      <c r="C133" s="2"/>
      <c r="D133" s="14"/>
      <c r="E133" s="14"/>
      <c r="F133" s="14">
        <f t="shared" si="1"/>
        <v>292031.32000000007</v>
      </c>
      <c r="G133" s="14"/>
    </row>
    <row r="134" spans="1:7" x14ac:dyDescent="0.25">
      <c r="A134" s="7"/>
      <c r="B134" s="13"/>
      <c r="C134" s="2"/>
      <c r="D134" s="14"/>
      <c r="E134" s="14"/>
      <c r="F134" s="14">
        <f t="shared" si="1"/>
        <v>292031.32000000007</v>
      </c>
      <c r="G134" s="14"/>
    </row>
    <row r="135" spans="1:7" x14ac:dyDescent="0.25">
      <c r="A135" s="7"/>
      <c r="B135" s="13"/>
      <c r="C135" s="2"/>
      <c r="D135" s="14"/>
      <c r="E135" s="14"/>
      <c r="F135" s="14">
        <f t="shared" si="1"/>
        <v>292031.32000000007</v>
      </c>
      <c r="G135" s="14"/>
    </row>
    <row r="136" spans="1:7" x14ac:dyDescent="0.25">
      <c r="A136" s="7"/>
      <c r="B136" s="13"/>
      <c r="C136" s="2"/>
      <c r="D136" s="14"/>
      <c r="E136" s="14"/>
      <c r="F136" s="14">
        <f t="shared" si="1"/>
        <v>292031.32000000007</v>
      </c>
      <c r="G136" s="14"/>
    </row>
    <row r="137" spans="1:7" x14ac:dyDescent="0.25">
      <c r="A137" s="7"/>
      <c r="B137" s="13"/>
      <c r="C137" s="2"/>
      <c r="D137" s="14"/>
      <c r="E137" s="14"/>
      <c r="F137" s="14">
        <f t="shared" si="1"/>
        <v>292031.32000000007</v>
      </c>
      <c r="G137" s="14"/>
    </row>
    <row r="138" spans="1:7" x14ac:dyDescent="0.25">
      <c r="A138" s="7"/>
      <c r="B138" s="13"/>
      <c r="C138" s="2"/>
      <c r="E138" s="14"/>
      <c r="F138" s="14">
        <f t="shared" si="1"/>
        <v>292031.32000000007</v>
      </c>
      <c r="G138" s="14"/>
    </row>
    <row r="139" spans="1:7" x14ac:dyDescent="0.25">
      <c r="A139" s="7"/>
      <c r="B139" s="13"/>
      <c r="C139" s="2"/>
      <c r="D139" s="14"/>
      <c r="E139" s="14"/>
      <c r="F139" s="14">
        <f t="shared" si="1"/>
        <v>292031.32000000007</v>
      </c>
      <c r="G139" s="14"/>
    </row>
    <row r="140" spans="1:7" x14ac:dyDescent="0.25">
      <c r="A140" s="7"/>
      <c r="B140" s="13"/>
      <c r="C140" s="2"/>
      <c r="D140" s="14"/>
      <c r="E140" s="14"/>
      <c r="F140" s="14">
        <f t="shared" si="1"/>
        <v>292031.32000000007</v>
      </c>
      <c r="G140" s="14"/>
    </row>
    <row r="141" spans="1:7" x14ac:dyDescent="0.25">
      <c r="A141" s="7"/>
      <c r="B141" s="13"/>
      <c r="C141" s="2"/>
      <c r="D141" s="14"/>
      <c r="E141" s="14"/>
      <c r="F141" s="14">
        <f t="shared" ref="F141:F204" si="2">+F140+D141-E141</f>
        <v>292031.32000000007</v>
      </c>
      <c r="G141" s="14"/>
    </row>
    <row r="142" spans="1:7" x14ac:dyDescent="0.25">
      <c r="A142" s="7"/>
      <c r="B142" s="13"/>
      <c r="C142" s="2"/>
      <c r="D142" s="14"/>
      <c r="E142" s="14"/>
      <c r="F142" s="14">
        <f t="shared" si="2"/>
        <v>292031.32000000007</v>
      </c>
      <c r="G142" s="14"/>
    </row>
    <row r="143" spans="1:7" x14ac:dyDescent="0.25">
      <c r="A143" s="7"/>
      <c r="B143" s="13"/>
      <c r="C143" s="2"/>
      <c r="D143" s="14"/>
      <c r="E143" s="14"/>
      <c r="F143" s="14">
        <f t="shared" si="2"/>
        <v>292031.32000000007</v>
      </c>
      <c r="G143" s="14"/>
    </row>
    <row r="144" spans="1:7" x14ac:dyDescent="0.25">
      <c r="A144" s="7"/>
      <c r="B144" s="13"/>
      <c r="C144" s="2"/>
      <c r="D144" s="14"/>
      <c r="E144" s="14"/>
      <c r="F144" s="14">
        <f t="shared" si="2"/>
        <v>292031.32000000007</v>
      </c>
      <c r="G144" s="14"/>
    </row>
    <row r="145" spans="1:7" x14ac:dyDescent="0.25">
      <c r="A145" s="7"/>
      <c r="B145" s="13"/>
      <c r="C145" s="2"/>
      <c r="D145" s="14"/>
      <c r="E145" s="14"/>
      <c r="F145" s="14">
        <f t="shared" si="2"/>
        <v>292031.32000000007</v>
      </c>
      <c r="G145" s="14"/>
    </row>
    <row r="146" spans="1:7" x14ac:dyDescent="0.25">
      <c r="A146" s="7"/>
      <c r="B146" s="13"/>
      <c r="C146" s="2"/>
      <c r="D146" s="14"/>
      <c r="E146" s="14"/>
      <c r="F146" s="14">
        <f t="shared" si="2"/>
        <v>292031.32000000007</v>
      </c>
      <c r="G146" s="14"/>
    </row>
    <row r="147" spans="1:7" x14ac:dyDescent="0.25">
      <c r="A147" s="7"/>
      <c r="B147" s="13"/>
      <c r="C147" s="2"/>
      <c r="D147" s="14"/>
      <c r="E147" s="14"/>
      <c r="F147" s="14">
        <f t="shared" si="2"/>
        <v>292031.32000000007</v>
      </c>
      <c r="G147" s="14"/>
    </row>
    <row r="148" spans="1:7" x14ac:dyDescent="0.25">
      <c r="A148" s="7"/>
      <c r="B148" s="13"/>
      <c r="C148" s="2"/>
      <c r="D148" s="14"/>
      <c r="E148" s="14"/>
      <c r="F148" s="14">
        <f t="shared" si="2"/>
        <v>292031.32000000007</v>
      </c>
      <c r="G148" s="14"/>
    </row>
    <row r="149" spans="1:7" x14ac:dyDescent="0.25">
      <c r="A149" s="7"/>
      <c r="B149" s="13"/>
      <c r="C149" s="2"/>
      <c r="D149" s="14"/>
      <c r="E149" s="14"/>
      <c r="F149" s="14">
        <f t="shared" si="2"/>
        <v>292031.32000000007</v>
      </c>
      <c r="G149" s="14"/>
    </row>
    <row r="150" spans="1:7" x14ac:dyDescent="0.25">
      <c r="A150" s="7"/>
      <c r="B150" s="13"/>
      <c r="C150" s="2"/>
      <c r="D150" s="14"/>
      <c r="E150" s="14"/>
      <c r="F150" s="14">
        <f t="shared" si="2"/>
        <v>292031.32000000007</v>
      </c>
      <c r="G150" s="14"/>
    </row>
    <row r="151" spans="1:7" x14ac:dyDescent="0.25">
      <c r="A151" s="7"/>
      <c r="B151" s="13"/>
      <c r="C151" s="2"/>
      <c r="D151" s="14"/>
      <c r="E151" s="14"/>
      <c r="F151" s="14">
        <f t="shared" si="2"/>
        <v>292031.32000000007</v>
      </c>
      <c r="G151" s="14"/>
    </row>
    <row r="152" spans="1:7" x14ac:dyDescent="0.25">
      <c r="A152" s="7"/>
      <c r="B152" s="13"/>
      <c r="C152" s="2"/>
      <c r="D152" s="14"/>
      <c r="E152" s="14"/>
      <c r="F152" s="14">
        <f t="shared" si="2"/>
        <v>292031.32000000007</v>
      </c>
      <c r="G152" s="14"/>
    </row>
    <row r="153" spans="1:7" x14ac:dyDescent="0.25">
      <c r="A153" s="7"/>
      <c r="B153" s="13"/>
      <c r="C153" s="2"/>
      <c r="D153" s="14"/>
      <c r="E153" s="14"/>
      <c r="F153" s="14">
        <f t="shared" si="2"/>
        <v>292031.32000000007</v>
      </c>
      <c r="G153" s="14"/>
    </row>
    <row r="154" spans="1:7" x14ac:dyDescent="0.25">
      <c r="A154" s="7"/>
      <c r="B154" s="13"/>
      <c r="C154" s="2"/>
      <c r="D154" s="14"/>
      <c r="E154" s="14"/>
      <c r="F154" s="14">
        <f t="shared" si="2"/>
        <v>292031.32000000007</v>
      </c>
      <c r="G154" s="14"/>
    </row>
    <row r="155" spans="1:7" x14ac:dyDescent="0.25">
      <c r="A155" s="7"/>
      <c r="B155" s="13"/>
      <c r="C155" s="2"/>
      <c r="D155" s="14"/>
      <c r="E155" s="14"/>
      <c r="F155" s="14">
        <f t="shared" si="2"/>
        <v>292031.32000000007</v>
      </c>
      <c r="G155" s="14"/>
    </row>
    <row r="156" spans="1:7" x14ac:dyDescent="0.25">
      <c r="A156" s="7"/>
      <c r="B156" s="13"/>
      <c r="C156" s="2"/>
      <c r="D156" s="14"/>
      <c r="E156" s="14"/>
      <c r="F156" s="14">
        <f t="shared" si="2"/>
        <v>292031.32000000007</v>
      </c>
      <c r="G156" s="14"/>
    </row>
    <row r="157" spans="1:7" x14ac:dyDescent="0.25">
      <c r="A157" s="7"/>
      <c r="B157" s="13"/>
      <c r="C157" s="2"/>
      <c r="D157" s="14"/>
      <c r="E157" s="14"/>
      <c r="F157" s="14">
        <f t="shared" si="2"/>
        <v>292031.32000000007</v>
      </c>
      <c r="G157" s="14"/>
    </row>
    <row r="158" spans="1:7" x14ac:dyDescent="0.25">
      <c r="A158" s="7"/>
      <c r="B158" s="13"/>
      <c r="C158" s="2"/>
      <c r="D158" s="14"/>
      <c r="E158" s="14"/>
      <c r="F158" s="14">
        <f t="shared" si="2"/>
        <v>292031.32000000007</v>
      </c>
      <c r="G158" s="14"/>
    </row>
    <row r="159" spans="1:7" x14ac:dyDescent="0.25">
      <c r="A159" s="7"/>
      <c r="B159" s="13"/>
      <c r="C159" s="2"/>
      <c r="D159" s="14"/>
      <c r="E159" s="14"/>
      <c r="F159" s="14">
        <f t="shared" si="2"/>
        <v>292031.32000000007</v>
      </c>
      <c r="G159" s="14"/>
    </row>
    <row r="160" spans="1:7" x14ac:dyDescent="0.25">
      <c r="A160" s="7"/>
      <c r="B160" s="13"/>
      <c r="C160" s="2"/>
      <c r="D160" s="14"/>
      <c r="E160" s="14"/>
      <c r="F160" s="14">
        <f t="shared" si="2"/>
        <v>292031.32000000007</v>
      </c>
      <c r="G160" s="14"/>
    </row>
    <row r="161" spans="1:7" x14ac:dyDescent="0.25">
      <c r="A161" s="7"/>
      <c r="B161" s="13"/>
      <c r="C161" s="2"/>
      <c r="D161" s="14"/>
      <c r="E161" s="14"/>
      <c r="F161" s="14">
        <f t="shared" si="2"/>
        <v>292031.32000000007</v>
      </c>
      <c r="G161" s="14"/>
    </row>
    <row r="162" spans="1:7" x14ac:dyDescent="0.25">
      <c r="A162" s="7"/>
      <c r="B162" s="13"/>
      <c r="C162" s="2"/>
      <c r="D162" s="14"/>
      <c r="E162" s="14"/>
      <c r="F162" s="14">
        <f t="shared" si="2"/>
        <v>292031.32000000007</v>
      </c>
      <c r="G162" s="14"/>
    </row>
    <row r="163" spans="1:7" x14ac:dyDescent="0.25">
      <c r="A163" s="7"/>
      <c r="B163" s="13"/>
      <c r="C163" s="2"/>
      <c r="D163" s="14"/>
      <c r="E163" s="14"/>
      <c r="F163" s="14">
        <f t="shared" si="2"/>
        <v>292031.32000000007</v>
      </c>
      <c r="G163" s="14"/>
    </row>
    <row r="164" spans="1:7" x14ac:dyDescent="0.25">
      <c r="A164" s="7"/>
      <c r="B164" s="13"/>
      <c r="C164" s="2"/>
      <c r="D164" s="14"/>
      <c r="E164" s="14"/>
      <c r="F164" s="14">
        <f t="shared" si="2"/>
        <v>292031.32000000007</v>
      </c>
      <c r="G164" s="14"/>
    </row>
    <row r="165" spans="1:7" x14ac:dyDescent="0.25">
      <c r="A165" s="7"/>
      <c r="B165" s="13"/>
      <c r="C165" s="2"/>
      <c r="D165" s="14"/>
      <c r="E165" s="14"/>
      <c r="F165" s="14">
        <f t="shared" si="2"/>
        <v>292031.32000000007</v>
      </c>
      <c r="G165" s="14"/>
    </row>
    <row r="166" spans="1:7" x14ac:dyDescent="0.25">
      <c r="A166" s="7"/>
      <c r="B166" s="13"/>
      <c r="C166" s="2"/>
      <c r="D166" s="14"/>
      <c r="E166" s="14"/>
      <c r="F166" s="14">
        <f t="shared" si="2"/>
        <v>292031.32000000007</v>
      </c>
      <c r="G166" s="14"/>
    </row>
    <row r="167" spans="1:7" x14ac:dyDescent="0.25">
      <c r="A167" s="7"/>
      <c r="B167" s="13"/>
      <c r="C167" s="2"/>
      <c r="D167" s="14"/>
      <c r="E167" s="14"/>
      <c r="F167" s="14">
        <f t="shared" si="2"/>
        <v>292031.32000000007</v>
      </c>
      <c r="G167" s="14"/>
    </row>
    <row r="168" spans="1:7" x14ac:dyDescent="0.25">
      <c r="A168" s="7"/>
      <c r="B168" s="13"/>
      <c r="C168" s="2"/>
      <c r="D168" s="14"/>
      <c r="E168" s="14"/>
      <c r="F168" s="14">
        <f t="shared" si="2"/>
        <v>292031.32000000007</v>
      </c>
      <c r="G168" s="14"/>
    </row>
    <row r="169" spans="1:7" x14ac:dyDescent="0.25">
      <c r="A169" s="7"/>
      <c r="B169" s="13"/>
      <c r="C169" s="2"/>
      <c r="D169" s="14"/>
      <c r="E169" s="14"/>
      <c r="F169" s="14">
        <f t="shared" si="2"/>
        <v>292031.32000000007</v>
      </c>
      <c r="G169" s="14"/>
    </row>
    <row r="170" spans="1:7" x14ac:dyDescent="0.25">
      <c r="A170" s="7"/>
      <c r="B170" s="13"/>
      <c r="C170" s="2"/>
      <c r="D170" s="14"/>
      <c r="E170" s="14"/>
      <c r="F170" s="14">
        <f t="shared" si="2"/>
        <v>292031.32000000007</v>
      </c>
      <c r="G170" s="14"/>
    </row>
    <row r="171" spans="1:7" x14ac:dyDescent="0.25">
      <c r="A171" s="7"/>
      <c r="B171" s="13"/>
      <c r="C171" s="2"/>
      <c r="D171" s="14"/>
      <c r="E171" s="14"/>
      <c r="F171" s="14">
        <f t="shared" si="2"/>
        <v>292031.32000000007</v>
      </c>
      <c r="G171" s="14"/>
    </row>
    <row r="172" spans="1:7" x14ac:dyDescent="0.25">
      <c r="A172" s="7"/>
      <c r="B172" s="13"/>
      <c r="C172" s="2"/>
      <c r="D172" s="14"/>
      <c r="E172" s="14"/>
      <c r="F172" s="14">
        <f t="shared" si="2"/>
        <v>292031.32000000007</v>
      </c>
      <c r="G172" s="14"/>
    </row>
    <row r="173" spans="1:7" x14ac:dyDescent="0.25">
      <c r="A173" s="7"/>
      <c r="B173" s="13"/>
      <c r="C173" s="2"/>
      <c r="D173" s="14"/>
      <c r="E173" s="14"/>
      <c r="F173" s="14">
        <f t="shared" si="2"/>
        <v>292031.32000000007</v>
      </c>
      <c r="G173" s="14"/>
    </row>
    <row r="174" spans="1:7" x14ac:dyDescent="0.25">
      <c r="A174" s="7"/>
      <c r="B174" s="13"/>
      <c r="C174" s="2"/>
      <c r="D174" s="14"/>
      <c r="E174" s="14"/>
      <c r="F174" s="14">
        <f t="shared" si="2"/>
        <v>292031.32000000007</v>
      </c>
      <c r="G174" s="14"/>
    </row>
    <row r="175" spans="1:7" x14ac:dyDescent="0.25">
      <c r="A175" s="7"/>
      <c r="B175" s="13"/>
      <c r="C175" s="2"/>
      <c r="D175" s="14"/>
      <c r="E175" s="14"/>
      <c r="F175" s="14">
        <f t="shared" si="2"/>
        <v>292031.32000000007</v>
      </c>
      <c r="G175" s="14"/>
    </row>
    <row r="176" spans="1:7" x14ac:dyDescent="0.25">
      <c r="A176" s="7"/>
      <c r="B176" s="13"/>
      <c r="C176" s="2"/>
      <c r="D176" s="14"/>
      <c r="E176" s="14"/>
      <c r="F176" s="14">
        <f t="shared" si="2"/>
        <v>292031.32000000007</v>
      </c>
      <c r="G176" s="14"/>
    </row>
    <row r="177" spans="1:7" x14ac:dyDescent="0.25">
      <c r="A177" s="7"/>
      <c r="B177" s="13"/>
      <c r="C177" s="2"/>
      <c r="D177" s="14"/>
      <c r="E177" s="14"/>
      <c r="F177" s="14">
        <f t="shared" si="2"/>
        <v>292031.32000000007</v>
      </c>
      <c r="G177" s="14"/>
    </row>
    <row r="178" spans="1:7" x14ac:dyDescent="0.25">
      <c r="A178" s="7"/>
      <c r="B178" s="13"/>
      <c r="C178" s="2"/>
      <c r="D178" s="14"/>
      <c r="E178" s="14"/>
      <c r="F178" s="14">
        <f t="shared" si="2"/>
        <v>292031.32000000007</v>
      </c>
      <c r="G178" s="14"/>
    </row>
    <row r="179" spans="1:7" x14ac:dyDescent="0.25">
      <c r="A179" s="7"/>
      <c r="B179" s="13"/>
      <c r="C179" s="2"/>
      <c r="D179" s="14"/>
      <c r="E179" s="14"/>
      <c r="F179" s="14">
        <f t="shared" si="2"/>
        <v>292031.32000000007</v>
      </c>
      <c r="G179" s="14"/>
    </row>
    <row r="180" spans="1:7" x14ac:dyDescent="0.25">
      <c r="A180" s="7"/>
      <c r="B180" s="13"/>
      <c r="C180" s="2"/>
      <c r="D180" s="14"/>
      <c r="E180" s="14"/>
      <c r="F180" s="14">
        <f t="shared" si="2"/>
        <v>292031.32000000007</v>
      </c>
      <c r="G180" s="14"/>
    </row>
    <row r="181" spans="1:7" x14ac:dyDescent="0.25">
      <c r="A181" s="7"/>
      <c r="B181" s="13"/>
      <c r="C181" s="2"/>
      <c r="D181" s="14"/>
      <c r="E181" s="14"/>
      <c r="F181" s="14">
        <f t="shared" si="2"/>
        <v>292031.32000000007</v>
      </c>
      <c r="G181" s="14"/>
    </row>
    <row r="182" spans="1:7" x14ac:dyDescent="0.25">
      <c r="A182" s="7"/>
      <c r="B182" s="13"/>
      <c r="C182" s="2"/>
      <c r="D182" s="14"/>
      <c r="E182" s="14"/>
      <c r="F182" s="14">
        <f t="shared" si="2"/>
        <v>292031.32000000007</v>
      </c>
      <c r="G182" s="14"/>
    </row>
    <row r="183" spans="1:7" x14ac:dyDescent="0.25">
      <c r="A183" s="7"/>
      <c r="B183" s="13"/>
      <c r="C183" s="2"/>
      <c r="D183" s="14"/>
      <c r="E183" s="14"/>
      <c r="F183" s="14">
        <f t="shared" si="2"/>
        <v>292031.32000000007</v>
      </c>
      <c r="G183" s="14"/>
    </row>
    <row r="184" spans="1:7" x14ac:dyDescent="0.25">
      <c r="A184" s="7"/>
      <c r="B184" s="13"/>
      <c r="C184" s="2"/>
      <c r="D184" s="14"/>
      <c r="E184" s="14"/>
      <c r="F184" s="14">
        <f t="shared" si="2"/>
        <v>292031.32000000007</v>
      </c>
      <c r="G184" s="14"/>
    </row>
    <row r="185" spans="1:7" x14ac:dyDescent="0.25">
      <c r="A185" s="7"/>
      <c r="B185" s="13"/>
      <c r="C185" s="2"/>
      <c r="D185" s="14"/>
      <c r="E185" s="14"/>
      <c r="F185" s="14">
        <f t="shared" si="2"/>
        <v>292031.32000000007</v>
      </c>
      <c r="G185" s="14"/>
    </row>
    <row r="186" spans="1:7" x14ac:dyDescent="0.25">
      <c r="A186" s="7"/>
      <c r="B186" s="13"/>
      <c r="C186" s="2"/>
      <c r="D186" s="14"/>
      <c r="E186" s="14"/>
      <c r="F186" s="14">
        <f t="shared" si="2"/>
        <v>292031.32000000007</v>
      </c>
      <c r="G186" s="14"/>
    </row>
    <row r="187" spans="1:7" x14ac:dyDescent="0.25">
      <c r="A187" s="7"/>
      <c r="B187" s="13"/>
      <c r="C187" s="2"/>
      <c r="D187" s="14"/>
      <c r="E187" s="14"/>
      <c r="F187" s="14">
        <f t="shared" si="2"/>
        <v>292031.32000000007</v>
      </c>
      <c r="G187" s="14"/>
    </row>
    <row r="188" spans="1:7" x14ac:dyDescent="0.25">
      <c r="A188" s="7"/>
      <c r="B188" s="13"/>
      <c r="C188" s="2"/>
      <c r="D188" s="14"/>
      <c r="E188" s="14"/>
      <c r="F188" s="14">
        <f t="shared" si="2"/>
        <v>292031.32000000007</v>
      </c>
      <c r="G188" s="14"/>
    </row>
    <row r="189" spans="1:7" x14ac:dyDescent="0.25">
      <c r="A189" s="7"/>
      <c r="B189" s="13"/>
      <c r="C189" s="2"/>
      <c r="D189" s="14"/>
      <c r="E189" s="14"/>
      <c r="F189" s="14">
        <f t="shared" si="2"/>
        <v>292031.32000000007</v>
      </c>
      <c r="G189" s="14"/>
    </row>
    <row r="190" spans="1:7" x14ac:dyDescent="0.25">
      <c r="A190" s="7"/>
      <c r="B190" s="13"/>
      <c r="C190" s="2"/>
      <c r="D190" s="14"/>
      <c r="E190" s="14"/>
      <c r="F190" s="14">
        <f t="shared" si="2"/>
        <v>292031.32000000007</v>
      </c>
      <c r="G190" s="14"/>
    </row>
    <row r="191" spans="1:7" x14ac:dyDescent="0.25">
      <c r="A191" s="7"/>
      <c r="B191" s="13"/>
      <c r="C191" s="2"/>
      <c r="D191" s="14"/>
      <c r="E191" s="14"/>
      <c r="F191" s="14">
        <f t="shared" si="2"/>
        <v>292031.32000000007</v>
      </c>
      <c r="G191" s="14"/>
    </row>
    <row r="192" spans="1:7" x14ac:dyDescent="0.25">
      <c r="A192" s="7"/>
      <c r="B192" s="13"/>
      <c r="C192" s="2"/>
      <c r="D192" s="14"/>
      <c r="E192" s="14"/>
      <c r="F192" s="14">
        <f t="shared" si="2"/>
        <v>292031.32000000007</v>
      </c>
      <c r="G192" s="14"/>
    </row>
    <row r="193" spans="1:7" x14ac:dyDescent="0.25">
      <c r="A193" s="7"/>
      <c r="B193" s="13"/>
      <c r="C193" s="2"/>
      <c r="D193" s="14"/>
      <c r="E193" s="14"/>
      <c r="F193" s="14">
        <f t="shared" si="2"/>
        <v>292031.32000000007</v>
      </c>
      <c r="G193" s="14"/>
    </row>
    <row r="194" spans="1:7" x14ac:dyDescent="0.25">
      <c r="A194" s="7"/>
      <c r="B194" s="13"/>
      <c r="C194" s="2"/>
      <c r="D194" s="14"/>
      <c r="E194" s="14"/>
      <c r="F194" s="14">
        <f t="shared" si="2"/>
        <v>292031.32000000007</v>
      </c>
      <c r="G194" s="14"/>
    </row>
    <row r="195" spans="1:7" x14ac:dyDescent="0.25">
      <c r="A195" s="7"/>
      <c r="B195" s="13"/>
      <c r="C195" s="2"/>
      <c r="D195" s="14"/>
      <c r="E195" s="14"/>
      <c r="F195" s="14">
        <f t="shared" si="2"/>
        <v>292031.32000000007</v>
      </c>
      <c r="G195" s="14"/>
    </row>
    <row r="196" spans="1:7" x14ac:dyDescent="0.25">
      <c r="A196" s="7"/>
      <c r="B196" s="13"/>
      <c r="C196" s="2"/>
      <c r="D196" s="14"/>
      <c r="E196" s="14"/>
      <c r="F196" s="14">
        <f t="shared" si="2"/>
        <v>292031.32000000007</v>
      </c>
      <c r="G196" s="14"/>
    </row>
    <row r="197" spans="1:7" x14ac:dyDescent="0.25">
      <c r="A197" s="7"/>
      <c r="B197" s="13"/>
      <c r="C197" s="2"/>
      <c r="D197" s="14"/>
      <c r="E197" s="14"/>
      <c r="F197" s="14">
        <f t="shared" si="2"/>
        <v>292031.32000000007</v>
      </c>
      <c r="G197" s="14"/>
    </row>
    <row r="198" spans="1:7" x14ac:dyDescent="0.25">
      <c r="A198" s="7"/>
      <c r="B198" s="13"/>
      <c r="C198" s="2"/>
      <c r="D198" s="14"/>
      <c r="E198" s="14"/>
      <c r="F198" s="14">
        <f t="shared" si="2"/>
        <v>292031.32000000007</v>
      </c>
      <c r="G198" s="14"/>
    </row>
    <row r="199" spans="1:7" x14ac:dyDescent="0.25">
      <c r="A199" s="7"/>
      <c r="B199" s="13"/>
      <c r="C199" s="2"/>
      <c r="D199" s="14"/>
      <c r="E199" s="14"/>
      <c r="F199" s="14">
        <f t="shared" si="2"/>
        <v>292031.32000000007</v>
      </c>
      <c r="G199" s="14"/>
    </row>
    <row r="200" spans="1:7" x14ac:dyDescent="0.25">
      <c r="A200" s="7"/>
      <c r="B200" s="13"/>
      <c r="C200" s="2"/>
      <c r="D200" s="14"/>
      <c r="E200" s="14"/>
      <c r="F200" s="14">
        <f t="shared" si="2"/>
        <v>292031.32000000007</v>
      </c>
      <c r="G200" s="14"/>
    </row>
    <row r="201" spans="1:7" x14ac:dyDescent="0.25">
      <c r="A201" s="7"/>
      <c r="B201" s="13"/>
      <c r="C201" s="2"/>
      <c r="D201" s="14"/>
      <c r="E201" s="14"/>
      <c r="F201" s="14">
        <f t="shared" si="2"/>
        <v>292031.32000000007</v>
      </c>
      <c r="G201" s="14"/>
    </row>
    <row r="202" spans="1:7" x14ac:dyDescent="0.25">
      <c r="A202" s="7"/>
      <c r="B202" s="13"/>
      <c r="C202" s="2"/>
      <c r="D202" s="14"/>
      <c r="E202" s="14"/>
      <c r="F202" s="14">
        <f t="shared" si="2"/>
        <v>292031.32000000007</v>
      </c>
      <c r="G202" s="14"/>
    </row>
    <row r="203" spans="1:7" x14ac:dyDescent="0.25">
      <c r="A203" s="7"/>
      <c r="B203" s="13"/>
      <c r="C203" s="2"/>
      <c r="D203" s="14"/>
      <c r="E203" s="14"/>
      <c r="F203" s="14">
        <f t="shared" si="2"/>
        <v>292031.32000000007</v>
      </c>
      <c r="G203" s="14"/>
    </row>
    <row r="204" spans="1:7" x14ac:dyDescent="0.25">
      <c r="A204" s="7"/>
      <c r="B204" s="13"/>
      <c r="C204" s="2"/>
      <c r="D204" s="14"/>
      <c r="E204" s="14"/>
      <c r="F204" s="14">
        <f t="shared" si="2"/>
        <v>292031.32000000007</v>
      </c>
      <c r="G204" s="14"/>
    </row>
    <row r="205" spans="1:7" x14ac:dyDescent="0.25">
      <c r="A205" s="7"/>
      <c r="B205" s="13"/>
      <c r="C205" s="2"/>
      <c r="D205" s="14"/>
      <c r="E205" s="14"/>
      <c r="F205" s="14">
        <f t="shared" ref="F205:F268" si="3">+F204+D205-E205</f>
        <v>292031.32000000007</v>
      </c>
      <c r="G205" s="14"/>
    </row>
    <row r="206" spans="1:7" x14ac:dyDescent="0.25">
      <c r="A206" s="7"/>
      <c r="B206" s="13"/>
      <c r="C206" s="2"/>
      <c r="D206" s="14"/>
      <c r="E206" s="14"/>
      <c r="F206" s="14">
        <f t="shared" si="3"/>
        <v>292031.32000000007</v>
      </c>
      <c r="G206" s="14"/>
    </row>
    <row r="207" spans="1:7" x14ac:dyDescent="0.25">
      <c r="A207" s="7"/>
      <c r="B207" s="13"/>
      <c r="C207" s="2"/>
      <c r="D207" s="14"/>
      <c r="E207" s="14"/>
      <c r="F207" s="14">
        <f t="shared" si="3"/>
        <v>292031.32000000007</v>
      </c>
      <c r="G207" s="14"/>
    </row>
    <row r="208" spans="1:7" x14ac:dyDescent="0.25">
      <c r="A208" s="7"/>
      <c r="B208" s="13"/>
      <c r="C208" s="2"/>
      <c r="D208" s="14"/>
      <c r="E208" s="14"/>
      <c r="F208" s="14">
        <f t="shared" si="3"/>
        <v>292031.32000000007</v>
      </c>
      <c r="G208" s="14"/>
    </row>
    <row r="209" spans="1:7" x14ac:dyDescent="0.25">
      <c r="A209" s="7"/>
      <c r="B209" s="13"/>
      <c r="C209" s="2"/>
      <c r="D209" s="14"/>
      <c r="E209" s="14"/>
      <c r="F209" s="14">
        <f t="shared" si="3"/>
        <v>292031.32000000007</v>
      </c>
      <c r="G209" s="14"/>
    </row>
    <row r="210" spans="1:7" x14ac:dyDescent="0.25">
      <c r="A210" s="7"/>
      <c r="B210" s="13"/>
      <c r="C210" s="2"/>
      <c r="D210" s="14"/>
      <c r="E210" s="14"/>
      <c r="F210" s="14">
        <f t="shared" si="3"/>
        <v>292031.32000000007</v>
      </c>
      <c r="G210" s="14"/>
    </row>
    <row r="211" spans="1:7" x14ac:dyDescent="0.25">
      <c r="A211" s="7"/>
      <c r="B211" s="13"/>
      <c r="C211" s="2"/>
      <c r="D211" s="14"/>
      <c r="E211" s="14"/>
      <c r="F211" s="14">
        <f t="shared" si="3"/>
        <v>292031.32000000007</v>
      </c>
      <c r="G211" s="14"/>
    </row>
    <row r="212" spans="1:7" x14ac:dyDescent="0.25">
      <c r="A212" s="7"/>
      <c r="B212" s="13"/>
      <c r="C212" s="2"/>
      <c r="D212" s="14"/>
      <c r="E212" s="14"/>
      <c r="F212" s="14">
        <f t="shared" si="3"/>
        <v>292031.32000000007</v>
      </c>
      <c r="G212" s="14"/>
    </row>
    <row r="213" spans="1:7" x14ac:dyDescent="0.25">
      <c r="A213" s="7"/>
      <c r="B213" s="13"/>
      <c r="C213" s="2"/>
      <c r="D213" s="14"/>
      <c r="E213" s="14"/>
      <c r="F213" s="14">
        <f t="shared" si="3"/>
        <v>292031.32000000007</v>
      </c>
      <c r="G213" s="14"/>
    </row>
    <row r="214" spans="1:7" x14ac:dyDescent="0.25">
      <c r="A214" s="7"/>
      <c r="B214" s="13"/>
      <c r="C214" s="2"/>
      <c r="D214" s="14"/>
      <c r="E214" s="14"/>
      <c r="F214" s="14">
        <f t="shared" si="3"/>
        <v>292031.32000000007</v>
      </c>
      <c r="G214" s="14"/>
    </row>
    <row r="215" spans="1:7" x14ac:dyDescent="0.25">
      <c r="A215" s="7"/>
      <c r="B215" s="13"/>
      <c r="C215" s="2"/>
      <c r="D215" s="14"/>
      <c r="E215" s="14"/>
      <c r="F215" s="14">
        <f t="shared" si="3"/>
        <v>292031.32000000007</v>
      </c>
      <c r="G215" s="14"/>
    </row>
    <row r="216" spans="1:7" x14ac:dyDescent="0.25">
      <c r="A216" s="7"/>
      <c r="B216" s="13"/>
      <c r="C216" s="2"/>
      <c r="D216" s="14"/>
      <c r="E216" s="14"/>
      <c r="F216" s="14">
        <f t="shared" si="3"/>
        <v>292031.32000000007</v>
      </c>
      <c r="G216" s="14"/>
    </row>
    <row r="217" spans="1:7" x14ac:dyDescent="0.25">
      <c r="A217" s="7"/>
      <c r="B217" s="13"/>
      <c r="C217" s="2"/>
      <c r="D217" s="14"/>
      <c r="E217" s="14"/>
      <c r="F217" s="14">
        <f t="shared" si="3"/>
        <v>292031.32000000007</v>
      </c>
      <c r="G217" s="14"/>
    </row>
    <row r="218" spans="1:7" x14ac:dyDescent="0.25">
      <c r="A218" s="7"/>
      <c r="B218" s="13"/>
      <c r="C218" s="2"/>
      <c r="D218" s="14"/>
      <c r="E218" s="14"/>
      <c r="F218" s="14">
        <f t="shared" si="3"/>
        <v>292031.32000000007</v>
      </c>
      <c r="G218" s="14"/>
    </row>
    <row r="219" spans="1:7" x14ac:dyDescent="0.25">
      <c r="A219" s="7"/>
      <c r="B219" s="13"/>
      <c r="C219" s="2"/>
      <c r="D219" s="14"/>
      <c r="E219" s="14"/>
      <c r="F219" s="14">
        <f t="shared" si="3"/>
        <v>292031.32000000007</v>
      </c>
      <c r="G219" s="14"/>
    </row>
    <row r="220" spans="1:7" x14ac:dyDescent="0.25">
      <c r="A220" s="7"/>
      <c r="B220" s="13"/>
      <c r="C220" s="2"/>
      <c r="D220" s="14"/>
      <c r="E220" s="14"/>
      <c r="F220" s="14">
        <f t="shared" si="3"/>
        <v>292031.32000000007</v>
      </c>
      <c r="G220" s="14"/>
    </row>
    <row r="221" spans="1:7" x14ac:dyDescent="0.25">
      <c r="A221" s="7"/>
      <c r="B221" s="13"/>
      <c r="C221" s="2"/>
      <c r="D221" s="14"/>
      <c r="E221" s="14"/>
      <c r="F221" s="14">
        <f t="shared" si="3"/>
        <v>292031.32000000007</v>
      </c>
      <c r="G221" s="14"/>
    </row>
    <row r="222" spans="1:7" x14ac:dyDescent="0.25">
      <c r="A222" s="7"/>
      <c r="B222" s="13"/>
      <c r="C222" s="2"/>
      <c r="D222" s="14"/>
      <c r="E222" s="14"/>
      <c r="F222" s="14">
        <f t="shared" si="3"/>
        <v>292031.32000000007</v>
      </c>
      <c r="G222" s="14"/>
    </row>
    <row r="223" spans="1:7" x14ac:dyDescent="0.25">
      <c r="A223" s="7"/>
      <c r="B223" s="13"/>
      <c r="C223" s="2"/>
      <c r="D223" s="14"/>
      <c r="E223" s="14"/>
      <c r="F223" s="14">
        <f t="shared" si="3"/>
        <v>292031.32000000007</v>
      </c>
      <c r="G223" s="14"/>
    </row>
    <row r="224" spans="1:7" x14ac:dyDescent="0.25">
      <c r="A224" s="7"/>
      <c r="B224" s="13"/>
      <c r="C224" s="2"/>
      <c r="D224" s="14"/>
      <c r="E224" s="14"/>
      <c r="F224" s="14">
        <f t="shared" si="3"/>
        <v>292031.32000000007</v>
      </c>
      <c r="G224" s="14"/>
    </row>
    <row r="225" spans="1:7" x14ac:dyDescent="0.25">
      <c r="A225" s="7"/>
      <c r="B225" s="13"/>
      <c r="C225" s="2"/>
      <c r="D225" s="14"/>
      <c r="E225" s="14"/>
      <c r="F225" s="14">
        <f t="shared" si="3"/>
        <v>292031.32000000007</v>
      </c>
      <c r="G225" s="14"/>
    </row>
    <row r="226" spans="1:7" x14ac:dyDescent="0.25">
      <c r="A226" s="7"/>
      <c r="B226" s="13"/>
      <c r="C226" s="2"/>
      <c r="D226" s="14"/>
      <c r="E226" s="14"/>
      <c r="F226" s="14">
        <f t="shared" si="3"/>
        <v>292031.32000000007</v>
      </c>
      <c r="G226" s="14"/>
    </row>
    <row r="227" spans="1:7" x14ac:dyDescent="0.25">
      <c r="A227" s="7"/>
      <c r="B227" s="13"/>
      <c r="C227" s="2"/>
      <c r="D227" s="14"/>
      <c r="E227" s="14"/>
      <c r="F227" s="14">
        <f t="shared" si="3"/>
        <v>292031.32000000007</v>
      </c>
      <c r="G227" s="14"/>
    </row>
    <row r="228" spans="1:7" x14ac:dyDescent="0.25">
      <c r="A228" s="7"/>
      <c r="B228" s="13"/>
      <c r="C228" s="2"/>
      <c r="D228" s="14"/>
      <c r="E228" s="14"/>
      <c r="F228" s="14">
        <f t="shared" si="3"/>
        <v>292031.32000000007</v>
      </c>
      <c r="G228" s="14"/>
    </row>
    <row r="229" spans="1:7" x14ac:dyDescent="0.25">
      <c r="A229" s="7"/>
      <c r="B229" s="13"/>
      <c r="C229" s="2"/>
      <c r="D229" s="14"/>
      <c r="E229" s="14"/>
      <c r="F229" s="14">
        <f t="shared" si="3"/>
        <v>292031.32000000007</v>
      </c>
      <c r="G229" s="14"/>
    </row>
    <row r="230" spans="1:7" x14ac:dyDescent="0.25">
      <c r="A230" s="7"/>
      <c r="B230" s="13"/>
      <c r="C230" s="2"/>
      <c r="D230" s="41"/>
      <c r="E230" s="14"/>
      <c r="F230" s="14">
        <f t="shared" si="3"/>
        <v>292031.32000000007</v>
      </c>
      <c r="G230" s="14"/>
    </row>
    <row r="231" spans="1:7" x14ac:dyDescent="0.25">
      <c r="A231" s="7"/>
      <c r="B231" s="13"/>
      <c r="C231" s="2"/>
      <c r="D231" s="14"/>
      <c r="E231" s="14"/>
      <c r="F231" s="14">
        <f t="shared" si="3"/>
        <v>292031.32000000007</v>
      </c>
      <c r="G231" s="14"/>
    </row>
    <row r="232" spans="1:7" x14ac:dyDescent="0.25">
      <c r="A232" s="7"/>
      <c r="B232" s="13"/>
      <c r="C232" s="2"/>
      <c r="D232" s="14"/>
      <c r="E232" s="14"/>
      <c r="F232" s="14">
        <f t="shared" si="3"/>
        <v>292031.32000000007</v>
      </c>
      <c r="G232" s="14"/>
    </row>
    <row r="233" spans="1:7" x14ac:dyDescent="0.25">
      <c r="A233" s="7"/>
      <c r="B233" s="13"/>
      <c r="C233" s="2"/>
      <c r="D233" s="14"/>
      <c r="E233" s="14"/>
      <c r="F233" s="14">
        <f t="shared" si="3"/>
        <v>292031.32000000007</v>
      </c>
      <c r="G233" s="14"/>
    </row>
    <row r="234" spans="1:7" x14ac:dyDescent="0.25">
      <c r="A234" s="7"/>
      <c r="B234" s="13"/>
      <c r="C234" s="2"/>
      <c r="D234" s="14"/>
      <c r="E234" s="14"/>
      <c r="F234" s="14">
        <f t="shared" si="3"/>
        <v>292031.32000000007</v>
      </c>
      <c r="G234" s="14"/>
    </row>
    <row r="235" spans="1:7" x14ac:dyDescent="0.25">
      <c r="A235" s="7"/>
      <c r="B235" s="13"/>
      <c r="C235" s="2"/>
      <c r="D235" s="14"/>
      <c r="E235" s="14"/>
      <c r="F235" s="14">
        <f t="shared" si="3"/>
        <v>292031.32000000007</v>
      </c>
      <c r="G235" s="14"/>
    </row>
    <row r="236" spans="1:7" x14ac:dyDescent="0.25">
      <c r="A236" s="7"/>
      <c r="B236" s="13"/>
      <c r="C236" s="2"/>
      <c r="D236" s="14"/>
      <c r="E236" s="14"/>
      <c r="F236" s="14">
        <f t="shared" si="3"/>
        <v>292031.32000000007</v>
      </c>
      <c r="G236" s="14"/>
    </row>
    <row r="237" spans="1:7" x14ac:dyDescent="0.25">
      <c r="A237" s="7"/>
      <c r="B237" s="13"/>
      <c r="C237" s="2"/>
      <c r="D237" s="14"/>
      <c r="E237" s="14"/>
      <c r="F237" s="14">
        <f t="shared" si="3"/>
        <v>292031.32000000007</v>
      </c>
      <c r="G237" s="14"/>
    </row>
    <row r="238" spans="1:7" x14ac:dyDescent="0.25">
      <c r="A238" s="7"/>
      <c r="B238" s="13"/>
      <c r="C238" s="2"/>
      <c r="D238" s="14"/>
      <c r="E238" s="14"/>
      <c r="F238" s="14">
        <f t="shared" si="3"/>
        <v>292031.32000000007</v>
      </c>
      <c r="G238" s="14"/>
    </row>
    <row r="239" spans="1:7" x14ac:dyDescent="0.25">
      <c r="A239" s="7"/>
      <c r="B239" s="13"/>
      <c r="C239" s="2"/>
      <c r="D239" s="14"/>
      <c r="E239" s="14"/>
      <c r="F239" s="14">
        <f t="shared" si="3"/>
        <v>292031.32000000007</v>
      </c>
      <c r="G239" s="14"/>
    </row>
    <row r="240" spans="1:7" x14ac:dyDescent="0.25">
      <c r="A240" s="7"/>
      <c r="B240" s="13"/>
      <c r="C240" s="2"/>
      <c r="D240" s="14"/>
      <c r="E240" s="14"/>
      <c r="F240" s="14">
        <f t="shared" si="3"/>
        <v>292031.32000000007</v>
      </c>
      <c r="G240" s="14"/>
    </row>
    <row r="241" spans="1:7" x14ac:dyDescent="0.25">
      <c r="A241" s="7"/>
      <c r="B241" s="13"/>
      <c r="C241" s="2"/>
      <c r="D241" s="14"/>
      <c r="E241" s="14"/>
      <c r="F241" s="14">
        <f t="shared" si="3"/>
        <v>292031.32000000007</v>
      </c>
      <c r="G241" s="14"/>
    </row>
    <row r="242" spans="1:7" x14ac:dyDescent="0.25">
      <c r="A242" s="7"/>
      <c r="B242" s="13"/>
      <c r="C242" s="2"/>
      <c r="D242" s="14"/>
      <c r="E242" s="14"/>
      <c r="F242" s="14">
        <f t="shared" si="3"/>
        <v>292031.32000000007</v>
      </c>
      <c r="G242" s="14"/>
    </row>
    <row r="243" spans="1:7" x14ac:dyDescent="0.25">
      <c r="A243" s="7"/>
      <c r="B243" s="13"/>
      <c r="C243" s="2"/>
      <c r="D243" s="14"/>
      <c r="E243" s="14"/>
      <c r="F243" s="14">
        <f t="shared" si="3"/>
        <v>292031.32000000007</v>
      </c>
      <c r="G243" s="14"/>
    </row>
    <row r="244" spans="1:7" x14ac:dyDescent="0.25">
      <c r="A244" s="7"/>
      <c r="B244" s="13"/>
      <c r="C244" s="2"/>
      <c r="D244" s="14"/>
      <c r="E244" s="14"/>
      <c r="F244" s="14">
        <f t="shared" si="3"/>
        <v>292031.32000000007</v>
      </c>
      <c r="G244" s="14"/>
    </row>
    <row r="245" spans="1:7" x14ac:dyDescent="0.25">
      <c r="A245" s="7"/>
      <c r="B245" s="13"/>
      <c r="C245" s="2"/>
      <c r="D245" s="14"/>
      <c r="E245" s="14"/>
      <c r="F245" s="14">
        <f t="shared" si="3"/>
        <v>292031.32000000007</v>
      </c>
      <c r="G245" s="14"/>
    </row>
    <row r="246" spans="1:7" x14ac:dyDescent="0.25">
      <c r="A246" s="7"/>
      <c r="B246" s="13"/>
      <c r="C246" s="2"/>
      <c r="D246" s="14"/>
      <c r="E246" s="14"/>
      <c r="F246" s="14">
        <f t="shared" si="3"/>
        <v>292031.32000000007</v>
      </c>
      <c r="G246" s="14"/>
    </row>
    <row r="247" spans="1:7" x14ac:dyDescent="0.25">
      <c r="A247" s="7"/>
      <c r="B247" s="13"/>
      <c r="C247" s="2"/>
      <c r="D247" s="14"/>
      <c r="E247" s="14"/>
      <c r="F247" s="14">
        <f t="shared" si="3"/>
        <v>292031.32000000007</v>
      </c>
      <c r="G247" s="14"/>
    </row>
    <row r="248" spans="1:7" x14ac:dyDescent="0.25">
      <c r="A248" s="7"/>
      <c r="B248" s="13"/>
      <c r="C248" s="2"/>
      <c r="D248" s="14"/>
      <c r="E248" s="14"/>
      <c r="F248" s="14">
        <f t="shared" si="3"/>
        <v>292031.32000000007</v>
      </c>
      <c r="G248" s="14"/>
    </row>
    <row r="249" spans="1:7" x14ac:dyDescent="0.25">
      <c r="A249" s="7"/>
      <c r="B249" s="13"/>
      <c r="C249" s="2"/>
      <c r="D249" s="14"/>
      <c r="E249" s="14"/>
      <c r="F249" s="14">
        <f t="shared" si="3"/>
        <v>292031.32000000007</v>
      </c>
      <c r="G249" s="14"/>
    </row>
    <row r="250" spans="1:7" x14ac:dyDescent="0.25">
      <c r="A250" s="7"/>
      <c r="B250" s="13"/>
      <c r="C250" s="2"/>
      <c r="D250" s="14"/>
      <c r="E250" s="14"/>
      <c r="F250" s="14">
        <f t="shared" si="3"/>
        <v>292031.32000000007</v>
      </c>
      <c r="G250" s="14"/>
    </row>
    <row r="251" spans="1:7" x14ac:dyDescent="0.25">
      <c r="A251" s="7"/>
      <c r="B251" s="13"/>
      <c r="C251" s="2"/>
      <c r="D251" s="14"/>
      <c r="E251" s="14"/>
      <c r="F251" s="14">
        <f t="shared" si="3"/>
        <v>292031.32000000007</v>
      </c>
      <c r="G251" s="14"/>
    </row>
    <row r="252" spans="1:7" x14ac:dyDescent="0.25">
      <c r="A252" s="7"/>
      <c r="B252" s="13"/>
      <c r="C252" s="2"/>
      <c r="D252" s="14"/>
      <c r="E252" s="14"/>
      <c r="F252" s="14">
        <f t="shared" si="3"/>
        <v>292031.32000000007</v>
      </c>
      <c r="G252" s="14"/>
    </row>
    <row r="253" spans="1:7" x14ac:dyDescent="0.25">
      <c r="A253" s="7"/>
      <c r="B253" s="13"/>
      <c r="C253" s="2"/>
      <c r="D253" s="14"/>
      <c r="E253" s="14"/>
      <c r="F253" s="14">
        <f t="shared" si="3"/>
        <v>292031.32000000007</v>
      </c>
      <c r="G253" s="14"/>
    </row>
    <row r="254" spans="1:7" x14ac:dyDescent="0.25">
      <c r="A254" s="7"/>
      <c r="B254" s="13"/>
      <c r="C254" s="2"/>
      <c r="D254" s="14"/>
      <c r="E254" s="14"/>
      <c r="F254" s="14">
        <f t="shared" si="3"/>
        <v>292031.32000000007</v>
      </c>
      <c r="G254" s="14"/>
    </row>
    <row r="255" spans="1:7" x14ac:dyDescent="0.25">
      <c r="A255" s="7"/>
      <c r="B255" s="13"/>
      <c r="C255" s="2"/>
      <c r="D255" s="14"/>
      <c r="E255" s="14"/>
      <c r="F255" s="14">
        <f t="shared" si="3"/>
        <v>292031.32000000007</v>
      </c>
      <c r="G255" s="14"/>
    </row>
    <row r="256" spans="1:7" x14ac:dyDescent="0.25">
      <c r="A256" s="7"/>
      <c r="B256" s="13"/>
      <c r="C256" s="2"/>
      <c r="D256" s="14"/>
      <c r="E256" s="14"/>
      <c r="F256" s="14">
        <f t="shared" si="3"/>
        <v>292031.32000000007</v>
      </c>
      <c r="G256" s="14"/>
    </row>
    <row r="257" spans="1:7" x14ac:dyDescent="0.25">
      <c r="A257" s="7"/>
      <c r="B257" s="13"/>
      <c r="C257" s="2"/>
      <c r="D257" s="14"/>
      <c r="E257" s="14"/>
      <c r="F257" s="14">
        <f t="shared" si="3"/>
        <v>292031.32000000007</v>
      </c>
      <c r="G257" s="14"/>
    </row>
    <row r="258" spans="1:7" x14ac:dyDescent="0.25">
      <c r="A258" s="7"/>
      <c r="B258" s="13"/>
      <c r="C258" s="2"/>
      <c r="D258" s="14"/>
      <c r="E258" s="14"/>
      <c r="F258" s="14">
        <f t="shared" si="3"/>
        <v>292031.32000000007</v>
      </c>
      <c r="G258" s="14"/>
    </row>
    <row r="259" spans="1:7" x14ac:dyDescent="0.25">
      <c r="A259" s="7"/>
      <c r="B259" s="13"/>
      <c r="C259" s="2"/>
      <c r="D259" s="14"/>
      <c r="E259" s="14"/>
      <c r="F259" s="14">
        <f t="shared" si="3"/>
        <v>292031.32000000007</v>
      </c>
      <c r="G259" s="14"/>
    </row>
    <row r="260" spans="1:7" x14ac:dyDescent="0.25">
      <c r="A260" s="7"/>
      <c r="B260" s="13"/>
      <c r="C260" s="2"/>
      <c r="D260" s="14"/>
      <c r="E260" s="14"/>
      <c r="F260" s="14">
        <f t="shared" si="3"/>
        <v>292031.32000000007</v>
      </c>
      <c r="G260" s="14"/>
    </row>
    <row r="261" spans="1:7" x14ac:dyDescent="0.25">
      <c r="A261" s="7"/>
      <c r="B261" s="13"/>
      <c r="C261" s="2"/>
      <c r="D261" s="14"/>
      <c r="E261" s="14"/>
      <c r="F261" s="14">
        <f t="shared" si="3"/>
        <v>292031.32000000007</v>
      </c>
      <c r="G261" s="14"/>
    </row>
    <row r="262" spans="1:7" x14ac:dyDescent="0.25">
      <c r="A262" s="7"/>
      <c r="B262" s="13"/>
      <c r="C262" s="2"/>
      <c r="D262" s="14"/>
      <c r="E262" s="14"/>
      <c r="F262" s="14">
        <f t="shared" si="3"/>
        <v>292031.32000000007</v>
      </c>
      <c r="G262" s="14"/>
    </row>
    <row r="263" spans="1:7" x14ac:dyDescent="0.25">
      <c r="A263" s="7"/>
      <c r="B263" s="13"/>
      <c r="C263" s="2"/>
      <c r="D263" s="14"/>
      <c r="E263" s="14"/>
      <c r="F263" s="14">
        <f t="shared" si="3"/>
        <v>292031.32000000007</v>
      </c>
      <c r="G263" s="14"/>
    </row>
    <row r="264" spans="1:7" x14ac:dyDescent="0.25">
      <c r="A264" s="7"/>
      <c r="B264" s="13"/>
      <c r="C264" s="2"/>
      <c r="D264" s="14"/>
      <c r="E264" s="14"/>
      <c r="F264" s="14">
        <f t="shared" si="3"/>
        <v>292031.32000000007</v>
      </c>
      <c r="G264" s="14"/>
    </row>
    <row r="265" spans="1:7" x14ac:dyDescent="0.25">
      <c r="A265" s="7"/>
      <c r="B265" s="13"/>
      <c r="C265" s="2"/>
      <c r="D265" s="14"/>
      <c r="E265" s="14"/>
      <c r="F265" s="14">
        <f t="shared" si="3"/>
        <v>292031.32000000007</v>
      </c>
      <c r="G265" s="14"/>
    </row>
    <row r="266" spans="1:7" x14ac:dyDescent="0.25">
      <c r="A266" s="7"/>
      <c r="B266" s="13"/>
      <c r="C266" s="2"/>
      <c r="D266" s="14"/>
      <c r="E266" s="14"/>
      <c r="F266" s="14">
        <f t="shared" si="3"/>
        <v>292031.32000000007</v>
      </c>
      <c r="G266" s="14"/>
    </row>
    <row r="267" spans="1:7" x14ac:dyDescent="0.25">
      <c r="A267" s="7"/>
      <c r="B267" s="13"/>
      <c r="C267" s="2"/>
      <c r="D267" s="14"/>
      <c r="E267" s="14"/>
      <c r="F267" s="14">
        <f t="shared" si="3"/>
        <v>292031.32000000007</v>
      </c>
      <c r="G267" s="14"/>
    </row>
    <row r="268" spans="1:7" x14ac:dyDescent="0.25">
      <c r="A268" s="7"/>
      <c r="B268" s="13"/>
      <c r="C268" s="2"/>
      <c r="D268" s="14"/>
      <c r="E268" s="14"/>
      <c r="F268" s="14">
        <f t="shared" si="3"/>
        <v>292031.32000000007</v>
      </c>
      <c r="G268" s="14"/>
    </row>
    <row r="269" spans="1:7" x14ac:dyDescent="0.25">
      <c r="A269" s="7"/>
      <c r="B269" s="13"/>
      <c r="C269" s="2"/>
      <c r="D269" s="14"/>
      <c r="E269" s="14"/>
      <c r="F269" s="14">
        <f t="shared" ref="F269:F312" si="4">+F268+D269-E269</f>
        <v>292031.32000000007</v>
      </c>
      <c r="G269" s="14"/>
    </row>
    <row r="270" spans="1:7" x14ac:dyDescent="0.25">
      <c r="A270" s="7"/>
      <c r="B270" s="13"/>
      <c r="C270" s="2"/>
      <c r="D270" s="14"/>
      <c r="E270" s="14"/>
      <c r="F270" s="14">
        <f t="shared" si="4"/>
        <v>292031.32000000007</v>
      </c>
      <c r="G270" s="14"/>
    </row>
    <row r="271" spans="1:7" x14ac:dyDescent="0.25">
      <c r="A271" s="7"/>
      <c r="B271" s="13"/>
      <c r="C271" s="2"/>
      <c r="D271" s="14"/>
      <c r="E271" s="14"/>
      <c r="F271" s="14">
        <f t="shared" si="4"/>
        <v>292031.32000000007</v>
      </c>
      <c r="G271" s="14"/>
    </row>
    <row r="272" spans="1:7" x14ac:dyDescent="0.25">
      <c r="A272" s="7"/>
      <c r="B272" s="13"/>
      <c r="C272" s="2"/>
      <c r="D272" s="14"/>
      <c r="E272" s="14"/>
      <c r="F272" s="14">
        <f t="shared" si="4"/>
        <v>292031.32000000007</v>
      </c>
      <c r="G272" s="14"/>
    </row>
    <row r="273" spans="1:7" x14ac:dyDescent="0.25">
      <c r="A273" s="7"/>
      <c r="B273" s="13"/>
      <c r="C273" s="2"/>
      <c r="D273" s="14"/>
      <c r="E273" s="14"/>
      <c r="F273" s="14">
        <f t="shared" si="4"/>
        <v>292031.32000000007</v>
      </c>
      <c r="G273" s="14"/>
    </row>
    <row r="274" spans="1:7" x14ac:dyDescent="0.25">
      <c r="A274" s="7"/>
      <c r="B274" s="13"/>
      <c r="C274" s="2"/>
      <c r="D274" s="14"/>
      <c r="E274" s="14"/>
      <c r="F274" s="14">
        <f t="shared" si="4"/>
        <v>292031.32000000007</v>
      </c>
      <c r="G274" s="14"/>
    </row>
    <row r="275" spans="1:7" x14ac:dyDescent="0.25">
      <c r="A275" s="7"/>
      <c r="B275" s="13"/>
      <c r="C275" s="2"/>
      <c r="D275" s="14"/>
      <c r="E275" s="14"/>
      <c r="F275" s="14">
        <f t="shared" si="4"/>
        <v>292031.32000000007</v>
      </c>
      <c r="G275" s="14"/>
    </row>
    <row r="276" spans="1:7" x14ac:dyDescent="0.25">
      <c r="A276" s="7"/>
      <c r="B276" s="13"/>
      <c r="C276" s="2"/>
      <c r="D276" s="14"/>
      <c r="E276" s="14"/>
      <c r="F276" s="14">
        <f t="shared" si="4"/>
        <v>292031.32000000007</v>
      </c>
      <c r="G276" s="14"/>
    </row>
    <row r="277" spans="1:7" x14ac:dyDescent="0.25">
      <c r="A277" s="7"/>
      <c r="B277" s="13"/>
      <c r="C277" s="2"/>
      <c r="D277" s="14"/>
      <c r="E277" s="14"/>
      <c r="F277" s="14">
        <f t="shared" si="4"/>
        <v>292031.32000000007</v>
      </c>
      <c r="G277" s="14"/>
    </row>
    <row r="278" spans="1:7" x14ac:dyDescent="0.25">
      <c r="A278" s="7"/>
      <c r="B278" s="13"/>
      <c r="C278" s="2"/>
      <c r="D278" s="14"/>
      <c r="E278" s="14"/>
      <c r="F278" s="14">
        <f t="shared" si="4"/>
        <v>292031.32000000007</v>
      </c>
      <c r="G278" s="14"/>
    </row>
    <row r="279" spans="1:7" x14ac:dyDescent="0.25">
      <c r="A279" s="7"/>
      <c r="B279" s="13"/>
      <c r="C279" s="2"/>
      <c r="D279" s="14"/>
      <c r="E279" s="14"/>
      <c r="F279" s="14">
        <f t="shared" si="4"/>
        <v>292031.32000000007</v>
      </c>
      <c r="G279" s="14"/>
    </row>
    <row r="280" spans="1:7" x14ac:dyDescent="0.25">
      <c r="A280" s="7"/>
      <c r="B280" s="13"/>
      <c r="C280" s="2"/>
      <c r="D280" s="14"/>
      <c r="E280" s="14"/>
      <c r="F280" s="14">
        <f t="shared" si="4"/>
        <v>292031.32000000007</v>
      </c>
      <c r="G280" s="14"/>
    </row>
    <row r="281" spans="1:7" x14ac:dyDescent="0.25">
      <c r="A281" s="7"/>
      <c r="B281" s="13"/>
      <c r="C281" s="2"/>
      <c r="D281" s="14"/>
      <c r="E281" s="14"/>
      <c r="F281" s="14">
        <f t="shared" si="4"/>
        <v>292031.32000000007</v>
      </c>
      <c r="G281" s="14"/>
    </row>
    <row r="282" spans="1:7" x14ac:dyDescent="0.25">
      <c r="A282" s="7"/>
      <c r="B282" s="13"/>
      <c r="C282" s="2"/>
      <c r="D282" s="14"/>
      <c r="E282" s="14"/>
      <c r="F282" s="14">
        <f t="shared" si="4"/>
        <v>292031.32000000007</v>
      </c>
      <c r="G282" s="14"/>
    </row>
    <row r="283" spans="1:7" x14ac:dyDescent="0.25">
      <c r="A283" s="7"/>
      <c r="B283" s="13"/>
      <c r="C283" s="2"/>
      <c r="D283" s="14"/>
      <c r="E283" s="14"/>
      <c r="F283" s="14">
        <f t="shared" si="4"/>
        <v>292031.32000000007</v>
      </c>
      <c r="G283" s="14"/>
    </row>
    <row r="284" spans="1:7" x14ac:dyDescent="0.25">
      <c r="A284" s="7"/>
      <c r="B284" s="13"/>
      <c r="C284" s="2"/>
      <c r="D284" s="14"/>
      <c r="E284" s="14"/>
      <c r="F284" s="14">
        <f t="shared" si="4"/>
        <v>292031.32000000007</v>
      </c>
      <c r="G284" s="14"/>
    </row>
    <row r="285" spans="1:7" x14ac:dyDescent="0.25">
      <c r="A285" s="7"/>
      <c r="B285" s="13"/>
      <c r="C285" s="2"/>
      <c r="D285" s="14"/>
      <c r="E285" s="14"/>
      <c r="F285" s="14">
        <f t="shared" si="4"/>
        <v>292031.32000000007</v>
      </c>
      <c r="G285" s="14"/>
    </row>
    <row r="286" spans="1:7" x14ac:dyDescent="0.25">
      <c r="A286" s="7"/>
      <c r="B286" s="13"/>
      <c r="C286" s="2"/>
      <c r="D286" s="14"/>
      <c r="E286" s="14"/>
      <c r="F286" s="14">
        <f t="shared" si="4"/>
        <v>292031.32000000007</v>
      </c>
      <c r="G286" s="14"/>
    </row>
    <row r="287" spans="1:7" x14ac:dyDescent="0.25">
      <c r="A287" s="7"/>
      <c r="B287" s="13"/>
      <c r="C287" s="2"/>
      <c r="D287" s="14"/>
      <c r="E287" s="14"/>
      <c r="F287" s="14">
        <f t="shared" si="4"/>
        <v>292031.32000000007</v>
      </c>
      <c r="G287" s="14"/>
    </row>
    <row r="288" spans="1:7" x14ac:dyDescent="0.25">
      <c r="A288" s="7"/>
      <c r="B288" s="13"/>
      <c r="C288" s="2"/>
      <c r="D288" s="14"/>
      <c r="E288" s="14"/>
      <c r="F288" s="14">
        <f t="shared" si="4"/>
        <v>292031.32000000007</v>
      </c>
      <c r="G288" s="14"/>
    </row>
    <row r="289" spans="1:7" x14ac:dyDescent="0.25">
      <c r="A289" s="7"/>
      <c r="B289" s="13"/>
      <c r="C289" s="2"/>
      <c r="D289" s="14"/>
      <c r="E289" s="14"/>
      <c r="F289" s="14">
        <f t="shared" si="4"/>
        <v>292031.32000000007</v>
      </c>
      <c r="G289" s="14"/>
    </row>
    <row r="290" spans="1:7" x14ac:dyDescent="0.25">
      <c r="A290" s="7"/>
      <c r="B290" s="13"/>
      <c r="C290" s="2"/>
      <c r="D290" s="14"/>
      <c r="E290" s="14"/>
      <c r="F290" s="14">
        <f t="shared" si="4"/>
        <v>292031.32000000007</v>
      </c>
      <c r="G290" s="14"/>
    </row>
    <row r="291" spans="1:7" x14ac:dyDescent="0.25">
      <c r="A291" s="7"/>
      <c r="B291" s="13"/>
      <c r="C291" s="2"/>
      <c r="D291" s="14"/>
      <c r="E291" s="14"/>
      <c r="F291" s="14">
        <f t="shared" si="4"/>
        <v>292031.32000000007</v>
      </c>
      <c r="G291" s="14"/>
    </row>
    <row r="292" spans="1:7" x14ac:dyDescent="0.25">
      <c r="A292" s="7"/>
      <c r="B292" s="13"/>
      <c r="C292" s="2"/>
      <c r="D292" s="14"/>
      <c r="E292" s="14"/>
      <c r="F292" s="14">
        <f t="shared" si="4"/>
        <v>292031.32000000007</v>
      </c>
      <c r="G292" s="14"/>
    </row>
    <row r="293" spans="1:7" x14ac:dyDescent="0.25">
      <c r="A293" s="7"/>
      <c r="B293" s="13"/>
      <c r="C293" s="2"/>
      <c r="D293" s="14"/>
      <c r="E293" s="14"/>
      <c r="F293" s="14">
        <f t="shared" si="4"/>
        <v>292031.32000000007</v>
      </c>
      <c r="G293" s="14"/>
    </row>
    <row r="294" spans="1:7" x14ac:dyDescent="0.25">
      <c r="A294" s="7"/>
      <c r="B294" s="13"/>
      <c r="C294" s="2"/>
      <c r="D294" s="14"/>
      <c r="E294" s="14"/>
      <c r="F294" s="14">
        <f t="shared" si="4"/>
        <v>292031.32000000007</v>
      </c>
      <c r="G294" s="14"/>
    </row>
    <row r="295" spans="1:7" x14ac:dyDescent="0.25">
      <c r="A295" s="7"/>
      <c r="B295" s="13"/>
      <c r="C295" s="2"/>
      <c r="D295" s="14"/>
      <c r="E295" s="14"/>
      <c r="F295" s="14">
        <f t="shared" si="4"/>
        <v>292031.32000000007</v>
      </c>
      <c r="G295" s="14"/>
    </row>
    <row r="296" spans="1:7" x14ac:dyDescent="0.25">
      <c r="A296" s="7"/>
      <c r="B296" s="13"/>
      <c r="C296" s="2"/>
      <c r="D296" s="14"/>
      <c r="E296" s="14"/>
      <c r="F296" s="14">
        <f t="shared" si="4"/>
        <v>292031.32000000007</v>
      </c>
      <c r="G296" s="14"/>
    </row>
    <row r="297" spans="1:7" x14ac:dyDescent="0.25">
      <c r="A297" s="7"/>
      <c r="B297" s="13"/>
      <c r="C297" s="2"/>
      <c r="D297" s="14"/>
      <c r="E297" s="14"/>
      <c r="F297" s="14">
        <f t="shared" si="4"/>
        <v>292031.32000000007</v>
      </c>
      <c r="G297" s="14"/>
    </row>
    <row r="298" spans="1:7" x14ac:dyDescent="0.25">
      <c r="A298" s="7"/>
      <c r="B298" s="13"/>
      <c r="C298" s="2"/>
      <c r="D298" s="14"/>
      <c r="E298" s="14"/>
      <c r="F298" s="14">
        <f t="shared" si="4"/>
        <v>292031.32000000007</v>
      </c>
      <c r="G298" s="14"/>
    </row>
    <row r="299" spans="1:7" x14ac:dyDescent="0.25">
      <c r="A299" s="7"/>
      <c r="B299" s="13"/>
      <c r="C299" s="2"/>
      <c r="D299" s="14"/>
      <c r="E299" s="14"/>
      <c r="F299" s="14">
        <f t="shared" si="4"/>
        <v>292031.32000000007</v>
      </c>
      <c r="G299" s="14"/>
    </row>
    <row r="300" spans="1:7" x14ac:dyDescent="0.25">
      <c r="A300" s="7"/>
      <c r="B300" s="13"/>
      <c r="C300" s="2"/>
      <c r="D300" s="14"/>
      <c r="E300" s="14"/>
      <c r="F300" s="14">
        <f t="shared" si="4"/>
        <v>292031.32000000007</v>
      </c>
      <c r="G300" s="14"/>
    </row>
    <row r="301" spans="1:7" x14ac:dyDescent="0.25">
      <c r="A301" s="7"/>
      <c r="B301" s="13"/>
      <c r="C301" s="2"/>
      <c r="D301" s="14"/>
      <c r="E301" s="14"/>
      <c r="F301" s="14">
        <f t="shared" si="4"/>
        <v>292031.32000000007</v>
      </c>
      <c r="G301" s="14"/>
    </row>
    <row r="302" spans="1:7" x14ac:dyDescent="0.25">
      <c r="A302" s="7"/>
      <c r="B302" s="13"/>
      <c r="C302" s="2"/>
      <c r="D302" s="14"/>
      <c r="E302" s="14"/>
      <c r="F302" s="14">
        <f t="shared" si="4"/>
        <v>292031.32000000007</v>
      </c>
      <c r="G302" s="14"/>
    </row>
    <row r="303" spans="1:7" x14ac:dyDescent="0.25">
      <c r="A303" s="7"/>
      <c r="B303" s="13"/>
      <c r="C303" s="2"/>
      <c r="D303" s="14"/>
      <c r="E303" s="14"/>
      <c r="F303" s="14">
        <f t="shared" si="4"/>
        <v>292031.32000000007</v>
      </c>
      <c r="G303" s="14"/>
    </row>
    <row r="304" spans="1:7" x14ac:dyDescent="0.25">
      <c r="A304" s="7"/>
      <c r="B304" s="13"/>
      <c r="C304" s="2"/>
      <c r="D304" s="14"/>
      <c r="E304" s="14"/>
      <c r="F304" s="14">
        <f t="shared" si="4"/>
        <v>292031.32000000007</v>
      </c>
      <c r="G304" s="14"/>
    </row>
    <row r="305" spans="1:7" x14ac:dyDescent="0.25">
      <c r="A305" s="7"/>
      <c r="B305" s="13"/>
      <c r="C305" s="2"/>
      <c r="D305" s="14"/>
      <c r="E305" s="14"/>
      <c r="F305" s="14">
        <f t="shared" si="4"/>
        <v>292031.32000000007</v>
      </c>
      <c r="G305" s="14"/>
    </row>
    <row r="306" spans="1:7" x14ac:dyDescent="0.25">
      <c r="A306" s="7"/>
      <c r="B306" s="13"/>
      <c r="C306" s="2"/>
      <c r="D306" s="14"/>
      <c r="E306" s="14"/>
      <c r="F306" s="14">
        <f t="shared" si="4"/>
        <v>292031.32000000007</v>
      </c>
      <c r="G306" s="14"/>
    </row>
    <row r="307" spans="1:7" x14ac:dyDescent="0.25">
      <c r="A307" s="7"/>
      <c r="B307" s="13"/>
      <c r="C307" s="2"/>
      <c r="D307" s="14"/>
      <c r="E307" s="14"/>
      <c r="F307" s="14">
        <f t="shared" si="4"/>
        <v>292031.32000000007</v>
      </c>
      <c r="G307" s="14"/>
    </row>
    <row r="308" spans="1:7" x14ac:dyDescent="0.25">
      <c r="A308" s="7"/>
      <c r="B308" s="13"/>
      <c r="C308" s="2"/>
      <c r="D308" s="14"/>
      <c r="E308" s="14"/>
      <c r="F308" s="14">
        <f t="shared" si="4"/>
        <v>292031.32000000007</v>
      </c>
      <c r="G308" s="14"/>
    </row>
    <row r="309" spans="1:7" x14ac:dyDescent="0.25">
      <c r="A309" s="7"/>
      <c r="B309" s="13"/>
      <c r="C309" s="2"/>
      <c r="D309" s="14"/>
      <c r="E309" s="14"/>
      <c r="F309" s="14">
        <f t="shared" si="4"/>
        <v>292031.32000000007</v>
      </c>
      <c r="G309" s="14"/>
    </row>
    <row r="310" spans="1:7" x14ac:dyDescent="0.25">
      <c r="A310" s="7"/>
      <c r="B310" s="13"/>
      <c r="C310" s="2"/>
      <c r="D310" s="14"/>
      <c r="E310" s="14"/>
      <c r="F310" s="14">
        <f t="shared" si="4"/>
        <v>292031.32000000007</v>
      </c>
      <c r="G310" s="14"/>
    </row>
    <row r="311" spans="1:7" x14ac:dyDescent="0.25">
      <c r="A311" s="7"/>
      <c r="B311" s="13"/>
      <c r="C311" s="2"/>
      <c r="D311" s="14"/>
      <c r="E311" s="14"/>
      <c r="F311" s="14">
        <f t="shared" si="4"/>
        <v>292031.32000000007</v>
      </c>
      <c r="G311" s="14"/>
    </row>
    <row r="312" spans="1:7" x14ac:dyDescent="0.25">
      <c r="A312" s="7"/>
      <c r="B312" s="13"/>
      <c r="C312" s="2"/>
      <c r="D312" s="14"/>
      <c r="E312" s="14"/>
      <c r="F312" s="14">
        <f t="shared" si="4"/>
        <v>292031.32000000007</v>
      </c>
      <c r="G312" s="14"/>
    </row>
    <row r="313" spans="1:7" x14ac:dyDescent="0.25">
      <c r="A313" s="7"/>
      <c r="B313" s="2"/>
      <c r="C313" s="2"/>
      <c r="D313" s="2"/>
      <c r="E313" s="2"/>
      <c r="F313" s="2"/>
      <c r="G313" s="2"/>
    </row>
    <row r="314" spans="1:7" ht="15.75" thickBot="1" x14ac:dyDescent="0.3">
      <c r="A314" s="20"/>
      <c r="B314" s="21"/>
      <c r="C314" s="21" t="s">
        <v>13</v>
      </c>
      <c r="D314" s="22">
        <f>SUM(D12:D313)</f>
        <v>8658781.3200000003</v>
      </c>
      <c r="E314" s="22">
        <f>SUM(E12:E313)</f>
        <v>8824635.8900000006</v>
      </c>
      <c r="F314" s="22">
        <f>D314-E314</f>
        <v>-165854.5700000003</v>
      </c>
      <c r="G314" s="22"/>
    </row>
    <row r="323" spans="1:7" x14ac:dyDescent="0.25">
      <c r="A323" s="5" t="s">
        <v>4</v>
      </c>
      <c r="B323" s="5"/>
      <c r="C323" s="5"/>
      <c r="D323" s="5"/>
      <c r="E323" s="5"/>
      <c r="F323" s="5"/>
      <c r="G323" s="5"/>
    </row>
    <row r="324" spans="1:7" x14ac:dyDescent="0.25">
      <c r="A324" s="5" t="s">
        <v>5</v>
      </c>
      <c r="B324" s="6"/>
      <c r="C324" s="6"/>
      <c r="D324" s="6"/>
    </row>
  </sheetData>
  <mergeCells count="4">
    <mergeCell ref="A8:G8"/>
    <mergeCell ref="A5:G5"/>
    <mergeCell ref="G26:H26"/>
    <mergeCell ref="G80:G93"/>
  </mergeCells>
  <pageMargins left="0.70866141732283472" right="0.70866141732283472" top="0.74803149606299213" bottom="0.74803149606299213" header="0.31496062992125984" footer="0.31496062992125984"/>
  <pageSetup paperSize="9" scale="51" fitToHeight="0" orientation="portrait" blackAndWhite="1" r:id="rId1"/>
  <rowBreaks count="3" manualBreakCount="3">
    <brk id="95" max="8" man="1"/>
    <brk id="191" max="8" man="1"/>
    <brk id="287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O144"/>
  <sheetViews>
    <sheetView topLeftCell="A98" zoomScale="70" zoomScaleNormal="70" workbookViewId="0">
      <selection activeCell="J121" sqref="J121"/>
    </sheetView>
  </sheetViews>
  <sheetFormatPr defaultColWidth="9.140625" defaultRowHeight="15" x14ac:dyDescent="0.25"/>
  <cols>
    <col min="1" max="1" width="10.5703125" style="1" customWidth="1"/>
    <col min="2" max="2" width="13.7109375" style="1" customWidth="1"/>
    <col min="3" max="3" width="39" style="1" customWidth="1"/>
    <col min="4" max="4" width="13.5703125" style="1" customWidth="1"/>
    <col min="5" max="5" width="15.42578125" style="1" customWidth="1"/>
    <col min="6" max="6" width="25.42578125" style="1" customWidth="1"/>
    <col min="7" max="7" width="26.7109375" style="1" customWidth="1"/>
    <col min="8" max="8" width="25.28515625" style="1" customWidth="1"/>
    <col min="9" max="16384" width="9.140625" style="1"/>
  </cols>
  <sheetData>
    <row r="1" spans="1:8" s="4" customFormat="1" ht="18.75" x14ac:dyDescent="0.3">
      <c r="A1" s="202" t="s">
        <v>244</v>
      </c>
    </row>
    <row r="2" spans="1:8" x14ac:dyDescent="0.25">
      <c r="A2" s="4" t="str">
        <f>+Acess!A2</f>
        <v xml:space="preserve">Nuit: </v>
      </c>
      <c r="B2" s="1">
        <v>401761349</v>
      </c>
    </row>
    <row r="3" spans="1:8" x14ac:dyDescent="0.25">
      <c r="A3" s="4" t="str">
        <f>+Acess!A3</f>
        <v xml:space="preserve">Periodo: </v>
      </c>
      <c r="B3" s="1">
        <v>2025</v>
      </c>
    </row>
    <row r="4" spans="1:8" ht="15.75" x14ac:dyDescent="0.25">
      <c r="A4" s="81"/>
      <c r="B4" s="81"/>
      <c r="C4" s="81"/>
      <c r="D4" s="81"/>
      <c r="E4" s="81"/>
      <c r="F4" s="81"/>
      <c r="G4" s="81"/>
      <c r="H4" s="81"/>
    </row>
    <row r="5" spans="1:8" s="4" customFormat="1" ht="16.5" thickBot="1" x14ac:dyDescent="0.3">
      <c r="A5" s="304"/>
      <c r="B5" s="304"/>
      <c r="C5" s="304"/>
      <c r="D5" s="304"/>
      <c r="E5" s="304"/>
      <c r="F5" s="304"/>
      <c r="G5" s="304"/>
      <c r="H5" s="304"/>
    </row>
    <row r="6" spans="1:8" ht="16.5" thickTop="1" x14ac:dyDescent="0.25">
      <c r="A6" s="81"/>
      <c r="B6" s="81"/>
      <c r="C6" s="81"/>
      <c r="D6" s="81"/>
      <c r="E6" s="81"/>
      <c r="F6" s="81"/>
      <c r="G6" s="81"/>
      <c r="H6" s="81"/>
    </row>
    <row r="7" spans="1:8" ht="15.75" x14ac:dyDescent="0.25">
      <c r="A7" s="82" t="s">
        <v>140</v>
      </c>
      <c r="B7" s="81"/>
      <c r="C7" s="81"/>
      <c r="D7" s="81"/>
      <c r="E7" s="81"/>
      <c r="F7" s="81"/>
      <c r="G7" s="81"/>
      <c r="H7" s="81"/>
    </row>
    <row r="8" spans="1:8" ht="16.5" thickBot="1" x14ac:dyDescent="0.3">
      <c r="A8" s="305" t="s">
        <v>245</v>
      </c>
      <c r="B8" s="305"/>
      <c r="C8" s="305"/>
      <c r="D8" s="305"/>
      <c r="E8" s="305"/>
      <c r="F8" s="305"/>
      <c r="G8" s="305"/>
      <c r="H8" s="305"/>
    </row>
    <row r="9" spans="1:8" ht="17.25" thickTop="1" thickBot="1" x14ac:dyDescent="0.3">
      <c r="A9" s="81"/>
      <c r="B9" s="81"/>
      <c r="C9" s="81"/>
      <c r="D9" s="81"/>
      <c r="E9" s="81"/>
      <c r="F9" s="81"/>
      <c r="G9" s="81"/>
      <c r="H9" s="170"/>
    </row>
    <row r="10" spans="1:8" s="34" customFormat="1" ht="27.75" customHeight="1" thickBot="1" x14ac:dyDescent="0.3">
      <c r="A10" s="171" t="s">
        <v>0</v>
      </c>
      <c r="B10" s="172" t="s">
        <v>1</v>
      </c>
      <c r="C10" s="172" t="s">
        <v>2</v>
      </c>
      <c r="D10" s="172" t="s">
        <v>254</v>
      </c>
      <c r="E10" s="172" t="s">
        <v>255</v>
      </c>
      <c r="F10" s="173" t="s">
        <v>141</v>
      </c>
      <c r="G10" s="172" t="s">
        <v>142</v>
      </c>
      <c r="H10" s="204" t="s">
        <v>9</v>
      </c>
    </row>
    <row r="11" spans="1:8" ht="14.25" customHeight="1" x14ac:dyDescent="0.25">
      <c r="A11" s="205"/>
      <c r="B11" s="206"/>
      <c r="C11" s="174"/>
      <c r="D11" s="207"/>
      <c r="E11" s="207"/>
      <c r="F11" s="208"/>
      <c r="G11" s="208"/>
      <c r="H11" s="209"/>
    </row>
    <row r="12" spans="1:8" ht="14.25" customHeight="1" x14ac:dyDescent="0.25">
      <c r="A12" s="210"/>
      <c r="B12" s="211"/>
      <c r="C12" s="212"/>
      <c r="D12" s="148"/>
      <c r="E12" s="207"/>
      <c r="F12" s="209"/>
      <c r="G12" s="209"/>
      <c r="H12" s="209">
        <f>SUM(F11-G12)</f>
        <v>0</v>
      </c>
    </row>
    <row r="13" spans="1:8" ht="14.25" customHeight="1" x14ac:dyDescent="0.25">
      <c r="A13" s="210">
        <v>1</v>
      </c>
      <c r="B13" s="213"/>
      <c r="C13" s="212" t="s">
        <v>182</v>
      </c>
      <c r="D13" s="214" t="s">
        <v>256</v>
      </c>
      <c r="E13" s="214" t="s">
        <v>256</v>
      </c>
      <c r="F13" s="209">
        <v>819023.99</v>
      </c>
      <c r="G13" s="209"/>
      <c r="H13" s="209">
        <f>+H12+F13-G13</f>
        <v>819023.99</v>
      </c>
    </row>
    <row r="14" spans="1:8" ht="15.75" x14ac:dyDescent="0.25">
      <c r="A14" s="210">
        <v>2</v>
      </c>
      <c r="B14" s="213"/>
      <c r="C14" s="212" t="s">
        <v>183</v>
      </c>
      <c r="D14" s="214" t="s">
        <v>256</v>
      </c>
      <c r="E14" s="214" t="s">
        <v>256</v>
      </c>
      <c r="F14" s="209">
        <v>41617.230000000003</v>
      </c>
      <c r="G14" s="215"/>
      <c r="H14" s="209">
        <f>+H13+F14-G14</f>
        <v>860641.22</v>
      </c>
    </row>
    <row r="15" spans="1:8" ht="15.75" x14ac:dyDescent="0.25">
      <c r="A15" s="210">
        <v>5</v>
      </c>
      <c r="B15" s="213"/>
      <c r="C15" s="216" t="s">
        <v>184</v>
      </c>
      <c r="D15" s="214" t="s">
        <v>256</v>
      </c>
      <c r="E15" s="214" t="s">
        <v>256</v>
      </c>
      <c r="F15" s="215"/>
      <c r="G15" s="217">
        <v>709363</v>
      </c>
      <c r="H15" s="209">
        <f>+H14+F15-G15</f>
        <v>151278.21999999997</v>
      </c>
    </row>
    <row r="16" spans="1:8" ht="15.75" x14ac:dyDescent="0.25">
      <c r="A16" s="210">
        <v>6</v>
      </c>
      <c r="B16" s="213"/>
      <c r="C16" s="212" t="s">
        <v>185</v>
      </c>
      <c r="D16" s="214" t="s">
        <v>256</v>
      </c>
      <c r="E16" s="214" t="s">
        <v>256</v>
      </c>
      <c r="F16" s="215">
        <v>957568.63</v>
      </c>
      <c r="G16" s="218"/>
      <c r="H16" s="209">
        <f t="shared" ref="H16:H77" si="0">+H15+F16-G16</f>
        <v>1108846.8500000001</v>
      </c>
    </row>
    <row r="17" spans="1:8" ht="15.75" x14ac:dyDescent="0.25">
      <c r="A17" s="210">
        <v>7</v>
      </c>
      <c r="B17" s="213"/>
      <c r="C17" s="212" t="s">
        <v>186</v>
      </c>
      <c r="D17" s="214" t="s">
        <v>256</v>
      </c>
      <c r="E17" s="214" t="s">
        <v>256</v>
      </c>
      <c r="F17" s="215">
        <v>243595.63</v>
      </c>
      <c r="G17" s="218"/>
      <c r="H17" s="209">
        <f t="shared" si="0"/>
        <v>1352442.48</v>
      </c>
    </row>
    <row r="18" spans="1:8" ht="15.75" x14ac:dyDescent="0.25">
      <c r="A18" s="210"/>
      <c r="B18" s="213"/>
      <c r="C18" s="212"/>
      <c r="D18" s="214" t="s">
        <v>256</v>
      </c>
      <c r="E18" s="214" t="s">
        <v>256</v>
      </c>
      <c r="F18" s="215"/>
      <c r="G18" s="219">
        <v>2299407.44</v>
      </c>
      <c r="H18" s="209">
        <f t="shared" si="0"/>
        <v>-946964.96</v>
      </c>
    </row>
    <row r="19" spans="1:8" ht="15.75" x14ac:dyDescent="0.25">
      <c r="A19" s="210">
        <v>8</v>
      </c>
      <c r="B19" s="213"/>
      <c r="C19" s="212" t="s">
        <v>187</v>
      </c>
      <c r="D19" s="214" t="s">
        <v>256</v>
      </c>
      <c r="E19" s="214" t="s">
        <v>256</v>
      </c>
      <c r="F19" s="215"/>
      <c r="G19" s="219">
        <v>1088875.28</v>
      </c>
      <c r="H19" s="209">
        <f>+H18+F19-G19</f>
        <v>-2035840.24</v>
      </c>
    </row>
    <row r="20" spans="1:8" ht="15.75" x14ac:dyDescent="0.25">
      <c r="A20" s="210">
        <v>9</v>
      </c>
      <c r="B20" s="213"/>
      <c r="C20" s="212" t="s">
        <v>188</v>
      </c>
      <c r="D20" s="214" t="s">
        <v>256</v>
      </c>
      <c r="E20" s="214" t="s">
        <v>256</v>
      </c>
      <c r="F20" s="215">
        <v>343193.13</v>
      </c>
      <c r="G20" s="218"/>
      <c r="H20" s="209">
        <f t="shared" si="0"/>
        <v>-1692647.1099999999</v>
      </c>
    </row>
    <row r="21" spans="1:8" ht="15.75" x14ac:dyDescent="0.25">
      <c r="A21" s="210">
        <v>10</v>
      </c>
      <c r="B21" s="213"/>
      <c r="C21" s="212" t="s">
        <v>189</v>
      </c>
      <c r="D21" s="214" t="s">
        <v>256</v>
      </c>
      <c r="E21" s="214" t="s">
        <v>256</v>
      </c>
      <c r="F21" s="215">
        <v>111408.39</v>
      </c>
      <c r="G21" s="218"/>
      <c r="H21" s="209">
        <f t="shared" si="0"/>
        <v>-1581238.72</v>
      </c>
    </row>
    <row r="22" spans="1:8" ht="15.75" x14ac:dyDescent="0.25">
      <c r="A22" s="210">
        <v>11</v>
      </c>
      <c r="B22" s="213"/>
      <c r="C22" s="212" t="s">
        <v>190</v>
      </c>
      <c r="D22" s="214" t="s">
        <v>256</v>
      </c>
      <c r="E22" s="214" t="s">
        <v>256</v>
      </c>
      <c r="F22" s="215">
        <v>271435.76</v>
      </c>
      <c r="G22" s="218"/>
      <c r="H22" s="209">
        <f t="shared" si="0"/>
        <v>-1309802.96</v>
      </c>
    </row>
    <row r="23" spans="1:8" ht="15.75" x14ac:dyDescent="0.25">
      <c r="A23" s="210">
        <v>12</v>
      </c>
      <c r="B23" s="213"/>
      <c r="C23" s="212" t="s">
        <v>191</v>
      </c>
      <c r="D23" s="214" t="s">
        <v>256</v>
      </c>
      <c r="E23" s="214" t="s">
        <v>256</v>
      </c>
      <c r="F23" s="215">
        <v>105343.93</v>
      </c>
      <c r="G23" s="218"/>
      <c r="H23" s="209">
        <f t="shared" si="0"/>
        <v>-1204459.03</v>
      </c>
    </row>
    <row r="24" spans="1:8" ht="15.75" x14ac:dyDescent="0.25">
      <c r="A24" s="210">
        <v>13</v>
      </c>
      <c r="B24" s="213"/>
      <c r="C24" s="212" t="s">
        <v>192</v>
      </c>
      <c r="D24" s="214" t="s">
        <v>256</v>
      </c>
      <c r="E24" s="214" t="s">
        <v>256</v>
      </c>
      <c r="F24" s="215">
        <v>85723.59</v>
      </c>
      <c r="G24" s="218"/>
      <c r="H24" s="209">
        <f t="shared" si="0"/>
        <v>-1118735.44</v>
      </c>
    </row>
    <row r="25" spans="1:8" ht="15.75" x14ac:dyDescent="0.25">
      <c r="A25" s="210">
        <v>14</v>
      </c>
      <c r="B25" s="213"/>
      <c r="C25" s="212" t="s">
        <v>193</v>
      </c>
      <c r="D25" s="214" t="s">
        <v>256</v>
      </c>
      <c r="E25" s="214" t="s">
        <v>256</v>
      </c>
      <c r="F25" s="215">
        <v>95751.82</v>
      </c>
      <c r="G25" s="218"/>
      <c r="H25" s="209">
        <f t="shared" si="0"/>
        <v>-1022983.6199999999</v>
      </c>
    </row>
    <row r="26" spans="1:8" ht="15.75" x14ac:dyDescent="0.25">
      <c r="A26" s="210">
        <v>15</v>
      </c>
      <c r="B26" s="213"/>
      <c r="C26" s="216" t="s">
        <v>194</v>
      </c>
      <c r="D26" s="214" t="s">
        <v>256</v>
      </c>
      <c r="E26" s="214" t="s">
        <v>256</v>
      </c>
      <c r="F26" s="215">
        <v>119203.64</v>
      </c>
      <c r="G26" s="215"/>
      <c r="H26" s="209">
        <f t="shared" si="0"/>
        <v>-903779.97999999986</v>
      </c>
    </row>
    <row r="27" spans="1:8" ht="15.75" x14ac:dyDescent="0.25">
      <c r="A27" s="210">
        <v>16</v>
      </c>
      <c r="B27" s="213"/>
      <c r="C27" s="212" t="s">
        <v>195</v>
      </c>
      <c r="D27" s="214" t="s">
        <v>256</v>
      </c>
      <c r="E27" s="214" t="s">
        <v>256</v>
      </c>
      <c r="F27" s="215">
        <v>237349.29</v>
      </c>
      <c r="G27" s="218"/>
      <c r="H27" s="209">
        <f t="shared" si="0"/>
        <v>-666430.68999999983</v>
      </c>
    </row>
    <row r="28" spans="1:8" ht="15.75" x14ac:dyDescent="0.25">
      <c r="A28" s="210">
        <v>17</v>
      </c>
      <c r="B28" s="213"/>
      <c r="C28" s="212" t="s">
        <v>196</v>
      </c>
      <c r="D28" s="214" t="s">
        <v>256</v>
      </c>
      <c r="E28" s="214" t="s">
        <v>256</v>
      </c>
      <c r="F28" s="215">
        <v>16173.1</v>
      </c>
      <c r="G28" s="218"/>
      <c r="H28" s="209">
        <f t="shared" si="0"/>
        <v>-650257.58999999985</v>
      </c>
    </row>
    <row r="29" spans="1:8" ht="15.75" x14ac:dyDescent="0.25">
      <c r="A29" s="210">
        <v>18</v>
      </c>
      <c r="B29" s="213"/>
      <c r="C29" s="216" t="s">
        <v>197</v>
      </c>
      <c r="D29" s="214" t="s">
        <v>256</v>
      </c>
      <c r="E29" s="214" t="s">
        <v>256</v>
      </c>
      <c r="F29" s="215">
        <v>13852.31</v>
      </c>
      <c r="G29" s="215"/>
      <c r="H29" s="209">
        <f t="shared" si="0"/>
        <v>-636405.2799999998</v>
      </c>
    </row>
    <row r="30" spans="1:8" ht="15.75" x14ac:dyDescent="0.25">
      <c r="A30" s="210">
        <v>19</v>
      </c>
      <c r="B30" s="213"/>
      <c r="C30" s="212" t="s">
        <v>198</v>
      </c>
      <c r="D30" s="214" t="s">
        <v>256</v>
      </c>
      <c r="E30" s="214" t="s">
        <v>256</v>
      </c>
      <c r="F30" s="215">
        <v>37180.769999999997</v>
      </c>
      <c r="G30" s="218"/>
      <c r="H30" s="209">
        <f t="shared" si="0"/>
        <v>-599224.50999999978</v>
      </c>
    </row>
    <row r="31" spans="1:8" ht="15.75" x14ac:dyDescent="0.25">
      <c r="A31" s="210">
        <v>20</v>
      </c>
      <c r="B31" s="213"/>
      <c r="C31" s="212" t="s">
        <v>199</v>
      </c>
      <c r="D31" s="214" t="s">
        <v>256</v>
      </c>
      <c r="E31" s="214" t="s">
        <v>256</v>
      </c>
      <c r="F31" s="215">
        <v>46480.02</v>
      </c>
      <c r="G31" s="218"/>
      <c r="H31" s="209">
        <f t="shared" si="0"/>
        <v>-552744.48999999976</v>
      </c>
    </row>
    <row r="32" spans="1:8" ht="15.75" x14ac:dyDescent="0.25">
      <c r="A32" s="210">
        <v>21</v>
      </c>
      <c r="B32" s="213"/>
      <c r="C32" s="220" t="s">
        <v>200</v>
      </c>
      <c r="D32" s="214" t="s">
        <v>256</v>
      </c>
      <c r="E32" s="214" t="s">
        <v>256</v>
      </c>
      <c r="F32" s="215"/>
      <c r="G32" s="217">
        <v>1088807.31</v>
      </c>
      <c r="H32" s="209">
        <f t="shared" si="0"/>
        <v>-1641551.7999999998</v>
      </c>
    </row>
    <row r="33" spans="1:8" ht="15.75" x14ac:dyDescent="0.25">
      <c r="A33" s="210">
        <v>22</v>
      </c>
      <c r="B33" s="213"/>
      <c r="C33" s="216" t="s">
        <v>201</v>
      </c>
      <c r="D33" s="214" t="s">
        <v>256</v>
      </c>
      <c r="E33" s="214" t="s">
        <v>256</v>
      </c>
      <c r="F33" s="215"/>
      <c r="G33" s="215"/>
      <c r="H33" s="209">
        <f t="shared" si="0"/>
        <v>-1641551.7999999998</v>
      </c>
    </row>
    <row r="34" spans="1:8" ht="15.75" x14ac:dyDescent="0.25">
      <c r="A34" s="210">
        <v>23</v>
      </c>
      <c r="B34" s="213"/>
      <c r="C34" s="212" t="s">
        <v>202</v>
      </c>
      <c r="D34" s="214" t="s">
        <v>256</v>
      </c>
      <c r="E34" s="214" t="s">
        <v>256</v>
      </c>
      <c r="F34" s="215">
        <v>786208.37</v>
      </c>
      <c r="G34" s="218"/>
      <c r="H34" s="209">
        <f t="shared" si="0"/>
        <v>-855343.42999999982</v>
      </c>
    </row>
    <row r="35" spans="1:8" ht="15.75" x14ac:dyDescent="0.25">
      <c r="A35" s="210">
        <v>24</v>
      </c>
      <c r="B35" s="213"/>
      <c r="C35" s="212" t="s">
        <v>203</v>
      </c>
      <c r="D35" s="214" t="s">
        <v>256</v>
      </c>
      <c r="E35" s="214" t="s">
        <v>256</v>
      </c>
      <c r="F35" s="215">
        <v>113658.39</v>
      </c>
      <c r="G35" s="218"/>
      <c r="H35" s="209">
        <f t="shared" si="0"/>
        <v>-741685.0399999998</v>
      </c>
    </row>
    <row r="36" spans="1:8" ht="15.75" x14ac:dyDescent="0.25">
      <c r="A36" s="210">
        <v>25</v>
      </c>
      <c r="B36" s="213"/>
      <c r="C36" s="212" t="s">
        <v>204</v>
      </c>
      <c r="D36" s="214" t="s">
        <v>256</v>
      </c>
      <c r="E36" s="214" t="s">
        <v>256</v>
      </c>
      <c r="F36" s="215">
        <v>34378.559999999998</v>
      </c>
      <c r="G36" s="218"/>
      <c r="H36" s="209">
        <f t="shared" si="0"/>
        <v>-707306.47999999975</v>
      </c>
    </row>
    <row r="37" spans="1:8" ht="15.75" x14ac:dyDescent="0.25">
      <c r="A37" s="210">
        <v>26</v>
      </c>
      <c r="B37" s="213"/>
      <c r="C37" s="148" t="s">
        <v>205</v>
      </c>
      <c r="D37" s="214" t="s">
        <v>256</v>
      </c>
      <c r="E37" s="214" t="s">
        <v>256</v>
      </c>
      <c r="F37" s="215">
        <v>160365.85</v>
      </c>
      <c r="G37" s="215"/>
      <c r="H37" s="209">
        <f t="shared" si="0"/>
        <v>-546940.62999999977</v>
      </c>
    </row>
    <row r="38" spans="1:8" ht="15.75" x14ac:dyDescent="0.25">
      <c r="A38" s="210">
        <v>27</v>
      </c>
      <c r="B38" s="213"/>
      <c r="C38" s="148" t="s">
        <v>206</v>
      </c>
      <c r="D38" s="214" t="s">
        <v>256</v>
      </c>
      <c r="E38" s="214" t="s">
        <v>256</v>
      </c>
      <c r="F38" s="215"/>
      <c r="G38" s="217">
        <v>1479316.26</v>
      </c>
      <c r="H38" s="209">
        <f t="shared" si="0"/>
        <v>-2026256.8899999997</v>
      </c>
    </row>
    <row r="39" spans="1:8" ht="15.75" x14ac:dyDescent="0.25">
      <c r="A39" s="210">
        <v>28</v>
      </c>
      <c r="B39" s="213"/>
      <c r="C39" s="148" t="s">
        <v>207</v>
      </c>
      <c r="D39" s="214" t="s">
        <v>256</v>
      </c>
      <c r="E39" s="214" t="s">
        <v>256</v>
      </c>
      <c r="F39" s="215">
        <v>15446.04</v>
      </c>
      <c r="G39" s="215"/>
      <c r="H39" s="209">
        <f t="shared" si="0"/>
        <v>-2010810.8499999996</v>
      </c>
    </row>
    <row r="40" spans="1:8" ht="15.75" x14ac:dyDescent="0.25">
      <c r="A40" s="210">
        <v>29</v>
      </c>
      <c r="B40" s="213"/>
      <c r="C40" s="148" t="s">
        <v>208</v>
      </c>
      <c r="D40" s="214" t="s">
        <v>256</v>
      </c>
      <c r="E40" s="214" t="s">
        <v>256</v>
      </c>
      <c r="F40" s="215">
        <v>52997.04</v>
      </c>
      <c r="G40" s="215"/>
      <c r="H40" s="209">
        <f t="shared" si="0"/>
        <v>-1957813.8099999996</v>
      </c>
    </row>
    <row r="41" spans="1:8" ht="15.75" x14ac:dyDescent="0.25">
      <c r="A41" s="210">
        <v>30</v>
      </c>
      <c r="B41" s="213"/>
      <c r="C41" s="148" t="s">
        <v>209</v>
      </c>
      <c r="D41" s="214" t="s">
        <v>256</v>
      </c>
      <c r="E41" s="214" t="s">
        <v>256</v>
      </c>
      <c r="F41" s="215">
        <v>26002.03</v>
      </c>
      <c r="G41" s="215"/>
      <c r="H41" s="209">
        <f t="shared" si="0"/>
        <v>-1931811.7799999996</v>
      </c>
    </row>
    <row r="42" spans="1:8" ht="15.75" x14ac:dyDescent="0.25">
      <c r="A42" s="210">
        <v>31</v>
      </c>
      <c r="B42" s="213"/>
      <c r="C42" s="148" t="s">
        <v>210</v>
      </c>
      <c r="D42" s="214" t="s">
        <v>256</v>
      </c>
      <c r="E42" s="214" t="s">
        <v>256</v>
      </c>
      <c r="F42" s="215">
        <v>24186.42</v>
      </c>
      <c r="G42" s="215"/>
      <c r="H42" s="209">
        <f t="shared" si="0"/>
        <v>-1907625.3599999996</v>
      </c>
    </row>
    <row r="43" spans="1:8" ht="15.75" x14ac:dyDescent="0.25">
      <c r="A43" s="210">
        <v>32</v>
      </c>
      <c r="B43" s="213"/>
      <c r="C43" s="148" t="s">
        <v>211</v>
      </c>
      <c r="D43" s="214" t="s">
        <v>256</v>
      </c>
      <c r="E43" s="214" t="s">
        <v>256</v>
      </c>
      <c r="F43" s="215">
        <v>116624.49</v>
      </c>
      <c r="G43" s="215"/>
      <c r="H43" s="209">
        <f t="shared" si="0"/>
        <v>-1791000.8699999996</v>
      </c>
    </row>
    <row r="44" spans="1:8" ht="15.75" x14ac:dyDescent="0.25">
      <c r="A44" s="210">
        <v>33</v>
      </c>
      <c r="B44" s="213"/>
      <c r="C44" s="148" t="s">
        <v>212</v>
      </c>
      <c r="D44" s="214" t="s">
        <v>256</v>
      </c>
      <c r="E44" s="214" t="s">
        <v>256</v>
      </c>
      <c r="F44" s="215">
        <v>27119.53</v>
      </c>
      <c r="G44" s="215"/>
      <c r="H44" s="209">
        <f t="shared" si="0"/>
        <v>-1763881.3399999996</v>
      </c>
    </row>
    <row r="45" spans="1:8" ht="15.75" x14ac:dyDescent="0.25">
      <c r="A45" s="210">
        <v>34</v>
      </c>
      <c r="B45" s="213"/>
      <c r="C45" s="148" t="s">
        <v>213</v>
      </c>
      <c r="D45" s="214" t="s">
        <v>256</v>
      </c>
      <c r="E45" s="214" t="s">
        <v>256</v>
      </c>
      <c r="F45" s="215">
        <v>238719.87</v>
      </c>
      <c r="G45" s="215"/>
      <c r="H45" s="209">
        <f t="shared" si="0"/>
        <v>-1525161.4699999997</v>
      </c>
    </row>
    <row r="46" spans="1:8" ht="15.75" x14ac:dyDescent="0.25">
      <c r="A46" s="210">
        <v>35</v>
      </c>
      <c r="B46" s="213"/>
      <c r="C46" s="148" t="s">
        <v>214</v>
      </c>
      <c r="D46" s="214" t="s">
        <v>256</v>
      </c>
      <c r="E46" s="214" t="s">
        <v>256</v>
      </c>
      <c r="F46" s="215">
        <v>19200</v>
      </c>
      <c r="G46" s="215"/>
      <c r="H46" s="209">
        <f t="shared" si="0"/>
        <v>-1505961.4699999997</v>
      </c>
    </row>
    <row r="47" spans="1:8" ht="15.75" x14ac:dyDescent="0.25">
      <c r="A47" s="210">
        <v>36</v>
      </c>
      <c r="B47" s="213"/>
      <c r="C47" s="148" t="s">
        <v>215</v>
      </c>
      <c r="D47" s="214" t="s">
        <v>256</v>
      </c>
      <c r="E47" s="214" t="s">
        <v>256</v>
      </c>
      <c r="F47" s="215"/>
      <c r="G47" s="217">
        <v>260001</v>
      </c>
      <c r="H47" s="209">
        <f t="shared" si="0"/>
        <v>-1765962.4699999997</v>
      </c>
    </row>
    <row r="48" spans="1:8" ht="15.75" x14ac:dyDescent="0.25">
      <c r="A48" s="210">
        <v>37</v>
      </c>
      <c r="B48" s="213"/>
      <c r="C48" s="148" t="s">
        <v>216</v>
      </c>
      <c r="D48" s="214" t="s">
        <v>256</v>
      </c>
      <c r="E48" s="214" t="s">
        <v>256</v>
      </c>
      <c r="F48" s="215">
        <v>20798.009999999998</v>
      </c>
      <c r="G48" s="215"/>
      <c r="H48" s="209">
        <f t="shared" si="0"/>
        <v>-1745164.4599999997</v>
      </c>
    </row>
    <row r="49" spans="1:8" ht="15.75" x14ac:dyDescent="0.25">
      <c r="A49" s="210">
        <v>38</v>
      </c>
      <c r="B49" s="213"/>
      <c r="C49" s="148" t="s">
        <v>217</v>
      </c>
      <c r="D49" s="214" t="s">
        <v>256</v>
      </c>
      <c r="E49" s="214" t="s">
        <v>256</v>
      </c>
      <c r="F49" s="215">
        <v>136576.41</v>
      </c>
      <c r="G49" s="215"/>
      <c r="H49" s="209">
        <f t="shared" si="0"/>
        <v>-1608588.0499999998</v>
      </c>
    </row>
    <row r="50" spans="1:8" ht="15.75" x14ac:dyDescent="0.25">
      <c r="A50" s="210">
        <v>39</v>
      </c>
      <c r="B50" s="213"/>
      <c r="C50" s="148" t="s">
        <v>218</v>
      </c>
      <c r="D50" s="214" t="s">
        <v>256</v>
      </c>
      <c r="E50" s="214" t="s">
        <v>256</v>
      </c>
      <c r="F50" s="215">
        <v>2000</v>
      </c>
      <c r="G50" s="215"/>
      <c r="H50" s="209">
        <f t="shared" si="0"/>
        <v>-1606588.0499999998</v>
      </c>
    </row>
    <row r="51" spans="1:8" ht="15.75" x14ac:dyDescent="0.25">
      <c r="A51" s="210">
        <v>40</v>
      </c>
      <c r="B51" s="213"/>
      <c r="C51" s="148" t="s">
        <v>219</v>
      </c>
      <c r="D51" s="214" t="s">
        <v>256</v>
      </c>
      <c r="E51" s="214" t="s">
        <v>256</v>
      </c>
      <c r="F51" s="215">
        <v>104060.08</v>
      </c>
      <c r="G51" s="215"/>
      <c r="H51" s="209">
        <f t="shared" si="0"/>
        <v>-1502527.9699999997</v>
      </c>
    </row>
    <row r="52" spans="1:8" ht="15.75" x14ac:dyDescent="0.25">
      <c r="A52" s="210">
        <v>41</v>
      </c>
      <c r="B52" s="213"/>
      <c r="C52" s="148" t="s">
        <v>220</v>
      </c>
      <c r="D52" s="214" t="s">
        <v>256</v>
      </c>
      <c r="E52" s="214" t="s">
        <v>256</v>
      </c>
      <c r="F52" s="215">
        <v>20000</v>
      </c>
      <c r="G52" s="215"/>
      <c r="H52" s="209">
        <f t="shared" si="0"/>
        <v>-1482527.9699999997</v>
      </c>
    </row>
    <row r="53" spans="1:8" ht="15.75" x14ac:dyDescent="0.25">
      <c r="A53" s="210">
        <v>42</v>
      </c>
      <c r="B53" s="213"/>
      <c r="C53" s="148" t="s">
        <v>221</v>
      </c>
      <c r="D53" s="214" t="s">
        <v>256</v>
      </c>
      <c r="E53" s="214" t="s">
        <v>256</v>
      </c>
      <c r="F53" s="215">
        <v>18518.16</v>
      </c>
      <c r="G53" s="215"/>
      <c r="H53" s="209">
        <f t="shared" si="0"/>
        <v>-1464009.8099999998</v>
      </c>
    </row>
    <row r="54" spans="1:8" ht="15.75" x14ac:dyDescent="0.25">
      <c r="A54" s="210">
        <v>43</v>
      </c>
      <c r="B54" s="213"/>
      <c r="C54" s="148" t="s">
        <v>222</v>
      </c>
      <c r="D54" s="214" t="s">
        <v>256</v>
      </c>
      <c r="E54" s="214" t="s">
        <v>256</v>
      </c>
      <c r="F54" s="215">
        <v>17807.46</v>
      </c>
      <c r="G54" s="215"/>
      <c r="H54" s="209">
        <f t="shared" si="0"/>
        <v>-1446202.3499999999</v>
      </c>
    </row>
    <row r="55" spans="1:8" ht="15.75" x14ac:dyDescent="0.25">
      <c r="A55" s="210">
        <v>44</v>
      </c>
      <c r="B55" s="213"/>
      <c r="C55" s="148" t="s">
        <v>223</v>
      </c>
      <c r="D55" s="214" t="s">
        <v>256</v>
      </c>
      <c r="E55" s="214" t="s">
        <v>256</v>
      </c>
      <c r="F55" s="215">
        <v>15307.46</v>
      </c>
      <c r="G55" s="215"/>
      <c r="H55" s="209">
        <f t="shared" si="0"/>
        <v>-1430894.89</v>
      </c>
    </row>
    <row r="56" spans="1:8" ht="15.75" x14ac:dyDescent="0.25">
      <c r="A56" s="210">
        <v>45</v>
      </c>
      <c r="B56" s="213"/>
      <c r="C56" s="148" t="s">
        <v>224</v>
      </c>
      <c r="D56" s="214" t="s">
        <v>256</v>
      </c>
      <c r="E56" s="214" t="s">
        <v>256</v>
      </c>
      <c r="F56" s="215"/>
      <c r="G56" s="217">
        <v>203058.68</v>
      </c>
      <c r="H56" s="209">
        <f t="shared" si="0"/>
        <v>-1633953.5699999998</v>
      </c>
    </row>
    <row r="57" spans="1:8" ht="15.75" x14ac:dyDescent="0.25">
      <c r="A57" s="210">
        <v>46</v>
      </c>
      <c r="B57" s="213"/>
      <c r="C57" s="148" t="s">
        <v>225</v>
      </c>
      <c r="D57" s="214" t="s">
        <v>256</v>
      </c>
      <c r="E57" s="214" t="s">
        <v>256</v>
      </c>
      <c r="F57" s="215"/>
      <c r="G57" s="217">
        <v>1106553</v>
      </c>
      <c r="H57" s="209">
        <f t="shared" si="0"/>
        <v>-2740506.57</v>
      </c>
    </row>
    <row r="58" spans="1:8" ht="15.75" x14ac:dyDescent="0.25">
      <c r="A58" s="210">
        <v>47</v>
      </c>
      <c r="B58" s="213"/>
      <c r="C58" s="148" t="s">
        <v>226</v>
      </c>
      <c r="D58" s="214" t="s">
        <v>256</v>
      </c>
      <c r="E58" s="214" t="s">
        <v>256</v>
      </c>
      <c r="F58" s="215">
        <v>351455.21</v>
      </c>
      <c r="G58" s="215"/>
      <c r="H58" s="209">
        <f t="shared" si="0"/>
        <v>-2389051.36</v>
      </c>
    </row>
    <row r="59" spans="1:8" ht="15.75" x14ac:dyDescent="0.25">
      <c r="A59" s="210">
        <v>48</v>
      </c>
      <c r="B59" s="213"/>
      <c r="C59" s="148" t="s">
        <v>143</v>
      </c>
      <c r="D59" s="214" t="s">
        <v>256</v>
      </c>
      <c r="E59" s="214" t="s">
        <v>256</v>
      </c>
      <c r="F59" s="215">
        <v>520486.46</v>
      </c>
      <c r="G59" s="215"/>
      <c r="H59" s="209">
        <f t="shared" si="0"/>
        <v>-1868564.9</v>
      </c>
    </row>
    <row r="60" spans="1:8" ht="15.75" x14ac:dyDescent="0.25">
      <c r="A60" s="210">
        <v>49</v>
      </c>
      <c r="B60" s="213"/>
      <c r="C60" s="148" t="s">
        <v>144</v>
      </c>
      <c r="D60" s="214" t="s">
        <v>256</v>
      </c>
      <c r="E60" s="214" t="s">
        <v>256</v>
      </c>
      <c r="F60" s="215">
        <v>201738.03</v>
      </c>
      <c r="G60" s="215"/>
      <c r="H60" s="209">
        <f t="shared" si="0"/>
        <v>-1666826.8699999999</v>
      </c>
    </row>
    <row r="61" spans="1:8" ht="15.75" x14ac:dyDescent="0.25">
      <c r="A61" s="210">
        <v>50</v>
      </c>
      <c r="B61" s="213"/>
      <c r="C61" s="148" t="s">
        <v>145</v>
      </c>
      <c r="D61" s="214" t="s">
        <v>256</v>
      </c>
      <c r="E61" s="214" t="s">
        <v>256</v>
      </c>
      <c r="F61" s="215">
        <v>43084.58</v>
      </c>
      <c r="G61" s="215"/>
      <c r="H61" s="209">
        <f t="shared" si="0"/>
        <v>-1623742.2899999998</v>
      </c>
    </row>
    <row r="62" spans="1:8" ht="15.75" x14ac:dyDescent="0.25">
      <c r="A62" s="210">
        <v>51</v>
      </c>
      <c r="B62" s="213"/>
      <c r="C62" s="148" t="s">
        <v>146</v>
      </c>
      <c r="D62" s="214" t="s">
        <v>256</v>
      </c>
      <c r="E62" s="214" t="s">
        <v>256</v>
      </c>
      <c r="F62" s="215">
        <v>245756.83</v>
      </c>
      <c r="G62" s="215"/>
      <c r="H62" s="209">
        <f t="shared" si="0"/>
        <v>-1377985.4599999997</v>
      </c>
    </row>
    <row r="63" spans="1:8" ht="15.75" x14ac:dyDescent="0.25">
      <c r="A63" s="210">
        <v>52</v>
      </c>
      <c r="B63" s="213"/>
      <c r="C63" s="148" t="s">
        <v>147</v>
      </c>
      <c r="D63" s="214" t="s">
        <v>256</v>
      </c>
      <c r="E63" s="214" t="s">
        <v>256</v>
      </c>
      <c r="F63" s="215">
        <v>233738.7</v>
      </c>
      <c r="G63" s="215"/>
      <c r="H63" s="209">
        <f t="shared" si="0"/>
        <v>-1144246.7599999998</v>
      </c>
    </row>
    <row r="64" spans="1:8" ht="15.75" x14ac:dyDescent="0.25">
      <c r="A64" s="210">
        <v>53</v>
      </c>
      <c r="B64" s="213"/>
      <c r="C64" s="148" t="s">
        <v>148</v>
      </c>
      <c r="D64" s="214" t="s">
        <v>256</v>
      </c>
      <c r="E64" s="214" t="s">
        <v>256</v>
      </c>
      <c r="F64" s="215">
        <v>99968.07</v>
      </c>
      <c r="G64" s="215"/>
      <c r="H64" s="209">
        <f t="shared" si="0"/>
        <v>-1044278.6899999997</v>
      </c>
    </row>
    <row r="65" spans="1:8" ht="15.75" x14ac:dyDescent="0.25">
      <c r="A65" s="210">
        <v>54</v>
      </c>
      <c r="B65" s="213"/>
      <c r="C65" s="148" t="s">
        <v>149</v>
      </c>
      <c r="D65" s="214" t="s">
        <v>256</v>
      </c>
      <c r="E65" s="214" t="s">
        <v>256</v>
      </c>
      <c r="F65" s="215"/>
      <c r="G65" s="217">
        <v>384097.9</v>
      </c>
      <c r="H65" s="209">
        <f t="shared" si="0"/>
        <v>-1428376.5899999999</v>
      </c>
    </row>
    <row r="66" spans="1:8" ht="15.75" x14ac:dyDescent="0.25">
      <c r="A66" s="210">
        <v>55</v>
      </c>
      <c r="B66" s="213"/>
      <c r="C66" s="148" t="s">
        <v>150</v>
      </c>
      <c r="D66" s="214" t="s">
        <v>256</v>
      </c>
      <c r="E66" s="214" t="s">
        <v>256</v>
      </c>
      <c r="F66" s="215">
        <v>22232.66</v>
      </c>
      <c r="G66" s="215"/>
      <c r="H66" s="209">
        <f t="shared" si="0"/>
        <v>-1406143.93</v>
      </c>
    </row>
    <row r="67" spans="1:8" ht="15.75" x14ac:dyDescent="0.25">
      <c r="A67" s="210">
        <v>56</v>
      </c>
      <c r="B67" s="213"/>
      <c r="C67" s="148" t="s">
        <v>151</v>
      </c>
      <c r="D67" s="214" t="s">
        <v>256</v>
      </c>
      <c r="E67" s="214" t="s">
        <v>256</v>
      </c>
      <c r="F67" s="215">
        <v>17628.830000000002</v>
      </c>
      <c r="G67" s="215"/>
      <c r="H67" s="209">
        <f t="shared" si="0"/>
        <v>-1388515.0999999999</v>
      </c>
    </row>
    <row r="68" spans="1:8" ht="15.75" x14ac:dyDescent="0.25">
      <c r="A68" s="210">
        <v>57</v>
      </c>
      <c r="B68" s="213"/>
      <c r="C68" s="148" t="s">
        <v>152</v>
      </c>
      <c r="D68" s="214" t="s">
        <v>256</v>
      </c>
      <c r="E68" s="214" t="s">
        <v>256</v>
      </c>
      <c r="F68" s="215"/>
      <c r="G68" s="221">
        <v>1050022.53</v>
      </c>
      <c r="H68" s="209">
        <f t="shared" si="0"/>
        <v>-2438537.63</v>
      </c>
    </row>
    <row r="69" spans="1:8" ht="15.75" x14ac:dyDescent="0.25">
      <c r="A69" s="210">
        <v>58</v>
      </c>
      <c r="B69" s="213"/>
      <c r="C69" s="148" t="s">
        <v>153</v>
      </c>
      <c r="D69" s="214" t="s">
        <v>256</v>
      </c>
      <c r="E69" s="214" t="s">
        <v>256</v>
      </c>
      <c r="F69" s="215">
        <v>203638.53</v>
      </c>
      <c r="G69" s="215"/>
      <c r="H69" s="209">
        <f t="shared" si="0"/>
        <v>-2234899.1</v>
      </c>
    </row>
    <row r="70" spans="1:8" ht="15.75" x14ac:dyDescent="0.25">
      <c r="A70" s="210">
        <v>59</v>
      </c>
      <c r="B70" s="213"/>
      <c r="C70" s="148" t="s">
        <v>154</v>
      </c>
      <c r="D70" s="214" t="s">
        <v>256</v>
      </c>
      <c r="E70" s="214" t="s">
        <v>256</v>
      </c>
      <c r="F70" s="215">
        <v>446438.28</v>
      </c>
      <c r="G70" s="215"/>
      <c r="H70" s="209">
        <f t="shared" si="0"/>
        <v>-1788460.82</v>
      </c>
    </row>
    <row r="71" spans="1:8" ht="15.75" x14ac:dyDescent="0.25">
      <c r="A71" s="210">
        <v>60</v>
      </c>
      <c r="B71" s="213"/>
      <c r="C71" s="148" t="s">
        <v>155</v>
      </c>
      <c r="D71" s="214" t="s">
        <v>256</v>
      </c>
      <c r="E71" s="214" t="s">
        <v>256</v>
      </c>
      <c r="F71" s="215">
        <v>34949.51</v>
      </c>
      <c r="G71" s="215"/>
      <c r="H71" s="209">
        <f t="shared" si="0"/>
        <v>-1753511.31</v>
      </c>
    </row>
    <row r="72" spans="1:8" ht="15.75" x14ac:dyDescent="0.25">
      <c r="A72" s="210">
        <v>61</v>
      </c>
      <c r="B72" s="213"/>
      <c r="C72" s="148" t="s">
        <v>156</v>
      </c>
      <c r="D72" s="214" t="s">
        <v>256</v>
      </c>
      <c r="E72" s="214" t="s">
        <v>256</v>
      </c>
      <c r="F72" s="215">
        <v>14982.93</v>
      </c>
      <c r="G72" s="215"/>
      <c r="H72" s="209">
        <f t="shared" si="0"/>
        <v>-1738528.3800000001</v>
      </c>
    </row>
    <row r="73" spans="1:8" ht="15.75" x14ac:dyDescent="0.25">
      <c r="A73" s="210">
        <v>62</v>
      </c>
      <c r="B73" s="213"/>
      <c r="C73" s="148" t="s">
        <v>157</v>
      </c>
      <c r="D73" s="214" t="s">
        <v>256</v>
      </c>
      <c r="E73" s="214" t="s">
        <v>256</v>
      </c>
      <c r="F73" s="215">
        <v>48658.5</v>
      </c>
      <c r="G73" s="215"/>
      <c r="H73" s="209">
        <f t="shared" si="0"/>
        <v>-1689869.8800000001</v>
      </c>
    </row>
    <row r="74" spans="1:8" ht="15.75" x14ac:dyDescent="0.25">
      <c r="A74" s="210">
        <v>63</v>
      </c>
      <c r="B74" s="213"/>
      <c r="C74" s="148" t="s">
        <v>158</v>
      </c>
      <c r="D74" s="214" t="s">
        <v>256</v>
      </c>
      <c r="E74" s="214" t="s">
        <v>256</v>
      </c>
      <c r="F74" s="215">
        <v>52070.68</v>
      </c>
      <c r="G74" s="215"/>
      <c r="H74" s="209">
        <f t="shared" si="0"/>
        <v>-1637799.2000000002</v>
      </c>
    </row>
    <row r="75" spans="1:8" ht="15.75" x14ac:dyDescent="0.25">
      <c r="A75" s="210">
        <v>64</v>
      </c>
      <c r="B75" s="213"/>
      <c r="C75" s="148" t="s">
        <v>159</v>
      </c>
      <c r="D75" s="214" t="s">
        <v>256</v>
      </c>
      <c r="E75" s="214" t="s">
        <v>256</v>
      </c>
      <c r="F75" s="215">
        <v>35050.129999999997</v>
      </c>
      <c r="G75" s="215"/>
      <c r="H75" s="209">
        <f t="shared" si="0"/>
        <v>-1602749.0700000003</v>
      </c>
    </row>
    <row r="76" spans="1:8" ht="15.75" x14ac:dyDescent="0.25">
      <c r="A76" s="210">
        <v>65</v>
      </c>
      <c r="B76" s="213"/>
      <c r="C76" s="148" t="s">
        <v>160</v>
      </c>
      <c r="D76" s="214" t="s">
        <v>256</v>
      </c>
      <c r="E76" s="214" t="s">
        <v>256</v>
      </c>
      <c r="F76" s="215">
        <v>3480</v>
      </c>
      <c r="G76" s="215"/>
      <c r="H76" s="209">
        <f t="shared" si="0"/>
        <v>-1599269.0700000003</v>
      </c>
    </row>
    <row r="77" spans="1:8" ht="15.75" x14ac:dyDescent="0.25">
      <c r="A77" s="210">
        <v>66</v>
      </c>
      <c r="B77" s="213"/>
      <c r="C77" s="148" t="s">
        <v>161</v>
      </c>
      <c r="D77" s="214" t="s">
        <v>256</v>
      </c>
      <c r="E77" s="214" t="s">
        <v>256</v>
      </c>
      <c r="F77" s="215">
        <v>53121.440000000002</v>
      </c>
      <c r="G77" s="215"/>
      <c r="H77" s="209">
        <f t="shared" si="0"/>
        <v>-1546147.6300000004</v>
      </c>
    </row>
    <row r="78" spans="1:8" ht="15.75" x14ac:dyDescent="0.25">
      <c r="A78" s="210">
        <v>67</v>
      </c>
      <c r="B78" s="213"/>
      <c r="C78" s="148" t="s">
        <v>162</v>
      </c>
      <c r="D78" s="214" t="s">
        <v>256</v>
      </c>
      <c r="E78" s="214" t="s">
        <v>256</v>
      </c>
      <c r="F78" s="215">
        <v>118520.36</v>
      </c>
      <c r="G78" s="215"/>
      <c r="H78" s="209">
        <f t="shared" ref="H78:H130" si="1">+H77+F78-G78</f>
        <v>-1427627.2700000003</v>
      </c>
    </row>
    <row r="79" spans="1:8" ht="15.75" x14ac:dyDescent="0.25">
      <c r="A79" s="210">
        <v>68</v>
      </c>
      <c r="B79" s="213"/>
      <c r="C79" s="148" t="s">
        <v>163</v>
      </c>
      <c r="D79" s="214" t="s">
        <v>256</v>
      </c>
      <c r="E79" s="214" t="s">
        <v>256</v>
      </c>
      <c r="F79" s="215">
        <v>69609.19</v>
      </c>
      <c r="G79" s="215"/>
      <c r="H79" s="209">
        <f t="shared" si="1"/>
        <v>-1358018.0800000003</v>
      </c>
    </row>
    <row r="80" spans="1:8" ht="15.75" x14ac:dyDescent="0.25">
      <c r="A80" s="210">
        <v>69</v>
      </c>
      <c r="B80" s="213"/>
      <c r="C80" s="148" t="s">
        <v>164</v>
      </c>
      <c r="D80" s="214" t="s">
        <v>256</v>
      </c>
      <c r="E80" s="214" t="s">
        <v>256</v>
      </c>
      <c r="F80" s="215">
        <v>26317.3</v>
      </c>
      <c r="G80" s="215"/>
      <c r="H80" s="209">
        <f t="shared" si="1"/>
        <v>-1331700.7800000003</v>
      </c>
    </row>
    <row r="81" spans="1:8" ht="15.75" x14ac:dyDescent="0.25">
      <c r="A81" s="210">
        <v>70</v>
      </c>
      <c r="B81" s="213"/>
      <c r="C81" s="148" t="s">
        <v>165</v>
      </c>
      <c r="D81" s="214" t="s">
        <v>256</v>
      </c>
      <c r="E81" s="214" t="s">
        <v>256</v>
      </c>
      <c r="F81" s="215"/>
      <c r="G81" s="221">
        <v>1192435.32</v>
      </c>
      <c r="H81" s="209">
        <f t="shared" si="1"/>
        <v>-2524136.1000000006</v>
      </c>
    </row>
    <row r="82" spans="1:8" ht="15.75" x14ac:dyDescent="0.25">
      <c r="A82" s="210">
        <v>71</v>
      </c>
      <c r="B82" s="213"/>
      <c r="C82" s="148" t="s">
        <v>166</v>
      </c>
      <c r="D82" s="214" t="s">
        <v>256</v>
      </c>
      <c r="E82" s="214" t="s">
        <v>256</v>
      </c>
      <c r="F82" s="215">
        <v>17762.169999999998</v>
      </c>
      <c r="G82" s="215"/>
      <c r="H82" s="209">
        <f t="shared" si="1"/>
        <v>-2506373.9300000006</v>
      </c>
    </row>
    <row r="83" spans="1:8" ht="15.75" x14ac:dyDescent="0.25">
      <c r="A83" s="210">
        <v>72</v>
      </c>
      <c r="B83" s="213"/>
      <c r="C83" s="148" t="s">
        <v>167</v>
      </c>
      <c r="D83" s="214" t="s">
        <v>256</v>
      </c>
      <c r="E83" s="214" t="s">
        <v>256</v>
      </c>
      <c r="F83" s="215">
        <v>27059.81</v>
      </c>
      <c r="G83" s="215"/>
      <c r="H83" s="209">
        <f t="shared" si="1"/>
        <v>-2479314.1200000006</v>
      </c>
    </row>
    <row r="84" spans="1:8" ht="15.75" x14ac:dyDescent="0.25">
      <c r="A84" s="210">
        <v>73</v>
      </c>
      <c r="B84" s="213"/>
      <c r="C84" s="148" t="s">
        <v>168</v>
      </c>
      <c r="D84" s="214" t="s">
        <v>256</v>
      </c>
      <c r="E84" s="214" t="s">
        <v>256</v>
      </c>
      <c r="F84" s="215">
        <v>35506.78</v>
      </c>
      <c r="G84" s="215"/>
      <c r="H84" s="209">
        <f t="shared" si="1"/>
        <v>-2443807.3400000008</v>
      </c>
    </row>
    <row r="85" spans="1:8" ht="15.75" x14ac:dyDescent="0.25">
      <c r="A85" s="210">
        <v>74</v>
      </c>
      <c r="B85" s="213"/>
      <c r="C85" s="148" t="s">
        <v>169</v>
      </c>
      <c r="D85" s="214" t="s">
        <v>256</v>
      </c>
      <c r="E85" s="214" t="s">
        <v>256</v>
      </c>
      <c r="F85" s="215">
        <v>17762.169999999998</v>
      </c>
      <c r="G85" s="215"/>
      <c r="H85" s="209">
        <f t="shared" si="1"/>
        <v>-2426045.1700000009</v>
      </c>
    </row>
    <row r="86" spans="1:8" ht="15.75" x14ac:dyDescent="0.25">
      <c r="A86" s="210">
        <v>75</v>
      </c>
      <c r="B86" s="213"/>
      <c r="C86" s="148" t="s">
        <v>170</v>
      </c>
      <c r="D86" s="214" t="s">
        <v>256</v>
      </c>
      <c r="E86" s="214" t="s">
        <v>256</v>
      </c>
      <c r="F86" s="215">
        <v>24705.94</v>
      </c>
      <c r="G86" s="215"/>
      <c r="H86" s="209">
        <f t="shared" si="1"/>
        <v>-2401339.2300000009</v>
      </c>
    </row>
    <row r="87" spans="1:8" ht="15.75" x14ac:dyDescent="0.25">
      <c r="A87" s="210">
        <v>76</v>
      </c>
      <c r="B87" s="213"/>
      <c r="C87" s="148" t="s">
        <v>171</v>
      </c>
      <c r="D87" s="214" t="s">
        <v>256</v>
      </c>
      <c r="E87" s="214" t="s">
        <v>256</v>
      </c>
      <c r="F87" s="215">
        <v>23626.05</v>
      </c>
      <c r="G87" s="215"/>
      <c r="H87" s="209">
        <f t="shared" si="1"/>
        <v>-2377713.1800000011</v>
      </c>
    </row>
    <row r="88" spans="1:8" ht="15.75" x14ac:dyDescent="0.25">
      <c r="A88" s="210">
        <v>77</v>
      </c>
      <c r="B88" s="213"/>
      <c r="C88" s="148" t="s">
        <v>172</v>
      </c>
      <c r="D88" s="214" t="s">
        <v>256</v>
      </c>
      <c r="E88" s="214" t="s">
        <v>256</v>
      </c>
      <c r="F88" s="215">
        <v>58124.68</v>
      </c>
      <c r="G88" s="215"/>
      <c r="H88" s="209">
        <f t="shared" si="1"/>
        <v>-2319588.5000000009</v>
      </c>
    </row>
    <row r="89" spans="1:8" ht="15.75" x14ac:dyDescent="0.25">
      <c r="A89" s="210">
        <v>78</v>
      </c>
      <c r="B89" s="213"/>
      <c r="C89" s="148" t="s">
        <v>173</v>
      </c>
      <c r="D89" s="214" t="s">
        <v>256</v>
      </c>
      <c r="E89" s="214" t="s">
        <v>256</v>
      </c>
      <c r="F89" s="215">
        <v>60129</v>
      </c>
      <c r="G89" s="215"/>
      <c r="H89" s="209">
        <f t="shared" si="1"/>
        <v>-2259459.5000000009</v>
      </c>
    </row>
    <row r="90" spans="1:8" ht="15.75" x14ac:dyDescent="0.25">
      <c r="A90" s="210">
        <v>79</v>
      </c>
      <c r="B90" s="213"/>
      <c r="C90" s="148" t="s">
        <v>174</v>
      </c>
      <c r="D90" s="214" t="s">
        <v>256</v>
      </c>
      <c r="E90" s="214" t="s">
        <v>256</v>
      </c>
      <c r="F90" s="215">
        <v>126919.14</v>
      </c>
      <c r="G90" s="215"/>
      <c r="H90" s="209">
        <f t="shared" si="1"/>
        <v>-2132540.3600000008</v>
      </c>
    </row>
    <row r="91" spans="1:8" ht="15.75" x14ac:dyDescent="0.25">
      <c r="A91" s="210">
        <v>80</v>
      </c>
      <c r="B91" s="213"/>
      <c r="C91" s="148" t="s">
        <v>175</v>
      </c>
      <c r="D91" s="214" t="s">
        <v>256</v>
      </c>
      <c r="E91" s="214" t="s">
        <v>256</v>
      </c>
      <c r="F91" s="215">
        <v>946586.81</v>
      </c>
      <c r="G91" s="215"/>
      <c r="H91" s="209">
        <f t="shared" si="1"/>
        <v>-1185953.5500000007</v>
      </c>
    </row>
    <row r="92" spans="1:8" ht="15.75" x14ac:dyDescent="0.25">
      <c r="A92" s="210">
        <v>82</v>
      </c>
      <c r="B92" s="213"/>
      <c r="C92" s="148" t="s">
        <v>176</v>
      </c>
      <c r="D92" s="214" t="s">
        <v>256</v>
      </c>
      <c r="E92" s="214" t="s">
        <v>256</v>
      </c>
      <c r="F92" s="215">
        <v>1158186.8</v>
      </c>
      <c r="G92" s="215"/>
      <c r="H92" s="209">
        <f>92+F92-G92</f>
        <v>1158278.8</v>
      </c>
    </row>
    <row r="93" spans="1:8" ht="15.75" x14ac:dyDescent="0.25">
      <c r="A93" s="210">
        <v>83</v>
      </c>
      <c r="B93" s="213"/>
      <c r="C93" s="148" t="s">
        <v>177</v>
      </c>
      <c r="D93" s="214" t="s">
        <v>256</v>
      </c>
      <c r="E93" s="214" t="s">
        <v>256</v>
      </c>
      <c r="F93" s="215"/>
      <c r="G93" s="222">
        <v>574836.09</v>
      </c>
      <c r="H93" s="209">
        <f t="shared" si="1"/>
        <v>583442.71000000008</v>
      </c>
    </row>
    <row r="94" spans="1:8" ht="15.75" x14ac:dyDescent="0.25">
      <c r="A94" s="210">
        <v>84</v>
      </c>
      <c r="B94" s="213"/>
      <c r="C94" s="148" t="s">
        <v>178</v>
      </c>
      <c r="D94" s="214" t="s">
        <v>256</v>
      </c>
      <c r="E94" s="214" t="s">
        <v>256</v>
      </c>
      <c r="F94" s="215"/>
      <c r="G94" s="223">
        <v>465940.87</v>
      </c>
      <c r="H94" s="209">
        <f t="shared" si="1"/>
        <v>117501.84000000008</v>
      </c>
    </row>
    <row r="95" spans="1:8" ht="15.75" x14ac:dyDescent="0.25">
      <c r="A95" s="210">
        <v>85</v>
      </c>
      <c r="B95" s="213"/>
      <c r="C95" s="148" t="s">
        <v>179</v>
      </c>
      <c r="D95" s="214" t="s">
        <v>256</v>
      </c>
      <c r="E95" s="214" t="s">
        <v>256</v>
      </c>
      <c r="F95" s="215">
        <v>18953.580000000002</v>
      </c>
      <c r="G95" s="215"/>
      <c r="H95" s="209">
        <f t="shared" si="1"/>
        <v>136455.4200000001</v>
      </c>
    </row>
    <row r="96" spans="1:8" ht="15.75" x14ac:dyDescent="0.25">
      <c r="A96" s="210">
        <v>86</v>
      </c>
      <c r="B96" s="213"/>
      <c r="C96" s="148" t="s">
        <v>180</v>
      </c>
      <c r="D96" s="214" t="s">
        <v>256</v>
      </c>
      <c r="E96" s="214" t="s">
        <v>256</v>
      </c>
      <c r="F96" s="215"/>
      <c r="G96" s="215"/>
      <c r="H96" s="209">
        <f t="shared" si="1"/>
        <v>136455.4200000001</v>
      </c>
    </row>
    <row r="97" spans="1:8" ht="15.75" x14ac:dyDescent="0.25">
      <c r="A97" s="210">
        <v>87</v>
      </c>
      <c r="B97" s="213"/>
      <c r="C97" s="148" t="s">
        <v>286</v>
      </c>
      <c r="D97" s="214" t="s">
        <v>256</v>
      </c>
      <c r="E97" s="214" t="s">
        <v>256</v>
      </c>
      <c r="F97" s="215"/>
      <c r="G97" s="217">
        <v>800077.98</v>
      </c>
      <c r="H97" s="209">
        <f t="shared" si="1"/>
        <v>-663622.55999999982</v>
      </c>
    </row>
    <row r="98" spans="1:8" ht="15.75" x14ac:dyDescent="0.25">
      <c r="A98" s="210">
        <v>88</v>
      </c>
      <c r="B98" s="213"/>
      <c r="C98" s="148" t="s">
        <v>181</v>
      </c>
      <c r="D98" s="214" t="s">
        <v>256</v>
      </c>
      <c r="E98" s="214" t="s">
        <v>256</v>
      </c>
      <c r="F98" s="215">
        <v>12760</v>
      </c>
      <c r="G98" s="215"/>
      <c r="H98" s="209">
        <f>+H97+F98-G98</f>
        <v>-650862.55999999982</v>
      </c>
    </row>
    <row r="99" spans="1:8" ht="15.75" x14ac:dyDescent="0.25">
      <c r="A99" s="210">
        <v>89</v>
      </c>
      <c r="B99" s="213"/>
      <c r="C99" s="148" t="s">
        <v>240</v>
      </c>
      <c r="D99" s="214" t="s">
        <v>256</v>
      </c>
      <c r="E99" s="214" t="s">
        <v>256</v>
      </c>
      <c r="F99" s="215">
        <v>96238.95</v>
      </c>
      <c r="G99" s="215"/>
      <c r="H99" s="209">
        <f t="shared" si="1"/>
        <v>-554623.60999999987</v>
      </c>
    </row>
    <row r="100" spans="1:8" ht="15.75" x14ac:dyDescent="0.25">
      <c r="A100" s="210">
        <v>90</v>
      </c>
      <c r="B100" s="213"/>
      <c r="C100" s="148" t="s">
        <v>241</v>
      </c>
      <c r="D100" s="214" t="s">
        <v>256</v>
      </c>
      <c r="E100" s="214" t="s">
        <v>256</v>
      </c>
      <c r="F100" s="215">
        <v>57082.68</v>
      </c>
      <c r="G100" s="215"/>
      <c r="H100" s="209">
        <f t="shared" si="1"/>
        <v>-497540.92999999988</v>
      </c>
    </row>
    <row r="101" spans="1:8" ht="15.75" x14ac:dyDescent="0.25">
      <c r="A101" s="210">
        <v>91</v>
      </c>
      <c r="B101" s="213"/>
      <c r="C101" s="148" t="s">
        <v>242</v>
      </c>
      <c r="D101" s="214" t="s">
        <v>256</v>
      </c>
      <c r="E101" s="214" t="s">
        <v>256</v>
      </c>
      <c r="F101" s="215">
        <v>22205.5</v>
      </c>
      <c r="G101" s="215"/>
      <c r="H101" s="209">
        <f t="shared" si="1"/>
        <v>-475335.42999999988</v>
      </c>
    </row>
    <row r="102" spans="1:8" ht="15.75" x14ac:dyDescent="0.25">
      <c r="A102" s="210">
        <v>92</v>
      </c>
      <c r="B102" s="213"/>
      <c r="C102" s="148" t="s">
        <v>243</v>
      </c>
      <c r="D102" s="214" t="s">
        <v>256</v>
      </c>
      <c r="E102" s="214" t="s">
        <v>256</v>
      </c>
      <c r="F102" s="215">
        <v>31080.2</v>
      </c>
      <c r="G102" s="215"/>
      <c r="H102" s="209">
        <f t="shared" si="1"/>
        <v>-444255.22999999986</v>
      </c>
    </row>
    <row r="103" spans="1:8" ht="15.75" x14ac:dyDescent="0.25">
      <c r="A103" s="210">
        <v>93</v>
      </c>
      <c r="B103" s="213"/>
      <c r="C103" s="148" t="s">
        <v>26</v>
      </c>
      <c r="D103" s="214" t="s">
        <v>256</v>
      </c>
      <c r="E103" s="214" t="s">
        <v>256</v>
      </c>
      <c r="F103" s="215"/>
      <c r="G103" s="217">
        <v>10000</v>
      </c>
      <c r="H103" s="209">
        <f t="shared" si="1"/>
        <v>-454255.22999999986</v>
      </c>
    </row>
    <row r="104" spans="1:8" ht="15.75" x14ac:dyDescent="0.25">
      <c r="A104" s="210">
        <v>94</v>
      </c>
      <c r="B104" s="213"/>
      <c r="C104" s="148" t="s">
        <v>252</v>
      </c>
      <c r="D104" s="214" t="s">
        <v>256</v>
      </c>
      <c r="E104" s="214" t="s">
        <v>256</v>
      </c>
      <c r="F104" s="215">
        <v>288666.43</v>
      </c>
      <c r="G104" s="215"/>
      <c r="H104" s="209">
        <f t="shared" si="1"/>
        <v>-165588.79999999987</v>
      </c>
    </row>
    <row r="105" spans="1:8" ht="15.75" x14ac:dyDescent="0.25">
      <c r="A105" s="210">
        <v>95</v>
      </c>
      <c r="B105" s="213"/>
      <c r="C105" s="148" t="s">
        <v>253</v>
      </c>
      <c r="D105" s="214" t="s">
        <v>256</v>
      </c>
      <c r="E105" s="214" t="s">
        <v>256</v>
      </c>
      <c r="F105" s="215">
        <v>115571.77</v>
      </c>
      <c r="G105" s="215"/>
      <c r="H105" s="209">
        <f t="shared" si="1"/>
        <v>-50017.029999999868</v>
      </c>
    </row>
    <row r="106" spans="1:8" ht="15.75" x14ac:dyDescent="0.25">
      <c r="A106" s="210">
        <v>96</v>
      </c>
      <c r="B106" s="213"/>
      <c r="C106" s="148" t="s">
        <v>286</v>
      </c>
      <c r="D106" s="214" t="s">
        <v>256</v>
      </c>
      <c r="E106" s="214" t="s">
        <v>256</v>
      </c>
      <c r="F106" s="215"/>
      <c r="G106" s="217">
        <v>1000000</v>
      </c>
      <c r="H106" s="209">
        <f t="shared" si="1"/>
        <v>-1050017.0299999998</v>
      </c>
    </row>
    <row r="107" spans="1:8" ht="15.75" x14ac:dyDescent="0.25">
      <c r="A107" s="210">
        <v>97</v>
      </c>
      <c r="B107" s="213"/>
      <c r="C107" s="148" t="s">
        <v>284</v>
      </c>
      <c r="D107" s="214" t="s">
        <v>256</v>
      </c>
      <c r="E107" s="214" t="s">
        <v>256</v>
      </c>
      <c r="F107" s="215">
        <v>52739.18</v>
      </c>
      <c r="G107" s="215"/>
      <c r="H107" s="209">
        <f t="shared" si="1"/>
        <v>-997277.84999999974</v>
      </c>
    </row>
    <row r="108" spans="1:8" ht="15.75" x14ac:dyDescent="0.25">
      <c r="A108" s="210">
        <v>98</v>
      </c>
      <c r="B108" s="213"/>
      <c r="C108" s="148" t="s">
        <v>285</v>
      </c>
      <c r="D108" s="214" t="s">
        <v>256</v>
      </c>
      <c r="E108" s="214" t="s">
        <v>256</v>
      </c>
      <c r="F108" s="215">
        <v>275741.34999999998</v>
      </c>
      <c r="G108" s="215"/>
      <c r="H108" s="209">
        <f>+H107+F108-G108</f>
        <v>-721536.49999999977</v>
      </c>
    </row>
    <row r="109" spans="1:8" ht="15.75" x14ac:dyDescent="0.25">
      <c r="A109" s="210">
        <v>99</v>
      </c>
      <c r="B109" s="213"/>
      <c r="C109" s="148" t="s">
        <v>286</v>
      </c>
      <c r="D109" s="214" t="s">
        <v>256</v>
      </c>
      <c r="E109" s="214" t="s">
        <v>256</v>
      </c>
      <c r="F109" s="215"/>
      <c r="G109" s="217">
        <v>1639929.84</v>
      </c>
      <c r="H109" s="209">
        <f t="shared" si="1"/>
        <v>-2361466.34</v>
      </c>
    </row>
    <row r="110" spans="1:8" ht="15.75" x14ac:dyDescent="0.25">
      <c r="A110" s="210">
        <v>100</v>
      </c>
      <c r="B110" s="213"/>
      <c r="C110" s="148" t="s">
        <v>286</v>
      </c>
      <c r="D110" s="214" t="s">
        <v>256</v>
      </c>
      <c r="E110" s="214" t="s">
        <v>256</v>
      </c>
      <c r="F110" s="215"/>
      <c r="G110" s="223">
        <v>880700.27</v>
      </c>
      <c r="H110" s="209">
        <f t="shared" si="1"/>
        <v>-3242166.61</v>
      </c>
    </row>
    <row r="111" spans="1:8" ht="15.75" x14ac:dyDescent="0.25">
      <c r="A111" s="210">
        <v>101</v>
      </c>
      <c r="B111" s="213"/>
      <c r="C111" s="148"/>
      <c r="D111" s="214" t="s">
        <v>256</v>
      </c>
      <c r="E111" s="214" t="s">
        <v>256</v>
      </c>
      <c r="F111" s="215"/>
      <c r="G111" s="217">
        <v>143074</v>
      </c>
      <c r="H111" s="209">
        <f t="shared" si="1"/>
        <v>-3385240.61</v>
      </c>
    </row>
    <row r="112" spans="1:8" ht="15.75" x14ac:dyDescent="0.25">
      <c r="A112" s="210">
        <v>102</v>
      </c>
      <c r="B112" s="213"/>
      <c r="C112" s="148"/>
      <c r="D112" s="214" t="s">
        <v>256</v>
      </c>
      <c r="E112" s="214" t="s">
        <v>256</v>
      </c>
      <c r="F112" s="215"/>
      <c r="G112" s="217">
        <v>89859.27</v>
      </c>
      <c r="H112" s="209">
        <f t="shared" si="1"/>
        <v>-3475099.88</v>
      </c>
    </row>
    <row r="113" spans="1:8" ht="15.75" x14ac:dyDescent="0.25">
      <c r="A113" s="210">
        <v>103</v>
      </c>
      <c r="B113" s="213"/>
      <c r="C113" s="148" t="s">
        <v>370</v>
      </c>
      <c r="D113" s="214" t="s">
        <v>256</v>
      </c>
      <c r="E113" s="214" t="s">
        <v>256</v>
      </c>
      <c r="F113" s="215">
        <v>91351.56</v>
      </c>
      <c r="G113" s="215"/>
      <c r="H113" s="209">
        <f t="shared" si="1"/>
        <v>-3383748.32</v>
      </c>
    </row>
    <row r="114" spans="1:8" ht="15.75" x14ac:dyDescent="0.25">
      <c r="A114" s="210">
        <v>104</v>
      </c>
      <c r="B114" s="213"/>
      <c r="C114" s="148" t="s">
        <v>371</v>
      </c>
      <c r="D114" s="214" t="s">
        <v>256</v>
      </c>
      <c r="E114" s="214" t="s">
        <v>256</v>
      </c>
      <c r="F114" s="215">
        <v>129871.2</v>
      </c>
      <c r="G114" s="215"/>
      <c r="H114" s="209">
        <f t="shared" si="1"/>
        <v>-3253877.1199999996</v>
      </c>
    </row>
    <row r="115" spans="1:8" ht="15.75" x14ac:dyDescent="0.25">
      <c r="A115" s="210">
        <v>105</v>
      </c>
      <c r="B115" s="213"/>
      <c r="C115" s="148" t="s">
        <v>372</v>
      </c>
      <c r="D115" s="214" t="s">
        <v>256</v>
      </c>
      <c r="E115" s="214" t="s">
        <v>256</v>
      </c>
      <c r="F115" s="215">
        <v>131489.51999999999</v>
      </c>
      <c r="G115" s="215"/>
      <c r="H115" s="209">
        <f t="shared" si="1"/>
        <v>-3122387.5999999996</v>
      </c>
    </row>
    <row r="116" spans="1:8" ht="15.75" x14ac:dyDescent="0.25">
      <c r="A116" s="210">
        <v>106</v>
      </c>
      <c r="B116" s="213"/>
      <c r="C116" s="148" t="s">
        <v>373</v>
      </c>
      <c r="D116" s="214" t="s">
        <v>256</v>
      </c>
      <c r="E116" s="214" t="s">
        <v>256</v>
      </c>
      <c r="F116" s="215">
        <v>49214.2</v>
      </c>
      <c r="G116" s="215"/>
      <c r="H116" s="209">
        <f t="shared" si="1"/>
        <v>-3073173.3999999994</v>
      </c>
    </row>
    <row r="117" spans="1:8" ht="15.75" x14ac:dyDescent="0.25">
      <c r="A117" s="210">
        <v>107</v>
      </c>
      <c r="B117" s="213"/>
      <c r="C117" s="148" t="s">
        <v>374</v>
      </c>
      <c r="D117" s="214" t="s">
        <v>256</v>
      </c>
      <c r="E117" s="214" t="s">
        <v>256</v>
      </c>
      <c r="F117" s="215">
        <v>681554.19</v>
      </c>
      <c r="G117" s="215"/>
      <c r="H117" s="209">
        <f t="shared" si="1"/>
        <v>-2391619.2099999995</v>
      </c>
    </row>
    <row r="118" spans="1:8" ht="15.75" x14ac:dyDescent="0.25">
      <c r="A118" s="210">
        <v>108</v>
      </c>
      <c r="B118" s="213"/>
      <c r="C118" s="148" t="s">
        <v>375</v>
      </c>
      <c r="D118" s="214" t="s">
        <v>256</v>
      </c>
      <c r="E118" s="214" t="s">
        <v>256</v>
      </c>
      <c r="F118" s="215">
        <v>510164.29</v>
      </c>
      <c r="G118" s="215"/>
      <c r="H118" s="209">
        <f t="shared" si="1"/>
        <v>-1881454.9199999995</v>
      </c>
    </row>
    <row r="119" spans="1:8" ht="15.75" x14ac:dyDescent="0.25">
      <c r="A119" s="210">
        <v>109</v>
      </c>
      <c r="B119" s="213"/>
      <c r="C119" s="148" t="s">
        <v>376</v>
      </c>
      <c r="D119" s="214" t="s">
        <v>256</v>
      </c>
      <c r="E119" s="214" t="s">
        <v>256</v>
      </c>
      <c r="F119" s="215">
        <v>247392.82</v>
      </c>
      <c r="G119" s="215"/>
      <c r="H119" s="209">
        <f t="shared" si="1"/>
        <v>-1634062.0999999994</v>
      </c>
    </row>
    <row r="120" spans="1:8" ht="15.75" x14ac:dyDescent="0.25">
      <c r="A120" s="210">
        <f t="shared" ref="A120:A132" si="2">A119+1</f>
        <v>110</v>
      </c>
      <c r="B120" s="213"/>
      <c r="C120" s="148" t="s">
        <v>377</v>
      </c>
      <c r="D120" s="214" t="s">
        <v>256</v>
      </c>
      <c r="E120" s="214" t="s">
        <v>256</v>
      </c>
      <c r="F120" s="215">
        <v>247393.26</v>
      </c>
      <c r="G120" s="215"/>
      <c r="H120" s="209">
        <f t="shared" si="1"/>
        <v>-1386668.8399999994</v>
      </c>
    </row>
    <row r="121" spans="1:8" ht="15.75" x14ac:dyDescent="0.25">
      <c r="A121" s="210">
        <f t="shared" si="2"/>
        <v>111</v>
      </c>
      <c r="B121" s="213"/>
      <c r="C121" s="148" t="s">
        <v>378</v>
      </c>
      <c r="D121" s="214" t="s">
        <v>256</v>
      </c>
      <c r="E121" s="214" t="s">
        <v>256</v>
      </c>
      <c r="F121" s="215">
        <v>166593.13</v>
      </c>
      <c r="G121" s="215"/>
      <c r="H121" s="209">
        <f t="shared" si="1"/>
        <v>-1220075.7099999995</v>
      </c>
    </row>
    <row r="122" spans="1:8" ht="15.75" x14ac:dyDescent="0.25">
      <c r="A122" s="210">
        <f t="shared" si="2"/>
        <v>112</v>
      </c>
      <c r="B122" s="213"/>
      <c r="C122" s="148" t="s">
        <v>379</v>
      </c>
      <c r="D122" s="214" t="s">
        <v>256</v>
      </c>
      <c r="E122" s="214" t="s">
        <v>256</v>
      </c>
      <c r="F122" s="215">
        <v>246766.14</v>
      </c>
      <c r="G122" s="215"/>
      <c r="H122" s="209">
        <f t="shared" si="1"/>
        <v>-973309.56999999948</v>
      </c>
    </row>
    <row r="123" spans="1:8" ht="15.75" x14ac:dyDescent="0.25">
      <c r="A123" s="210">
        <f t="shared" si="2"/>
        <v>113</v>
      </c>
      <c r="B123" s="213"/>
      <c r="C123" s="148" t="s">
        <v>380</v>
      </c>
      <c r="D123" s="214" t="s">
        <v>256</v>
      </c>
      <c r="E123" s="214" t="s">
        <v>256</v>
      </c>
      <c r="F123" s="215">
        <v>287062.76</v>
      </c>
      <c r="G123" s="215"/>
      <c r="H123" s="209">
        <f t="shared" si="1"/>
        <v>-686246.80999999947</v>
      </c>
    </row>
    <row r="124" spans="1:8" ht="15.75" x14ac:dyDescent="0.25">
      <c r="A124" s="210">
        <f t="shared" si="2"/>
        <v>114</v>
      </c>
      <c r="B124" s="213"/>
      <c r="C124" s="148" t="s">
        <v>381</v>
      </c>
      <c r="D124" s="214" t="s">
        <v>256</v>
      </c>
      <c r="E124" s="214" t="s">
        <v>256</v>
      </c>
      <c r="F124" s="215">
        <v>632285.37</v>
      </c>
      <c r="G124" s="215"/>
      <c r="H124" s="209">
        <f t="shared" si="1"/>
        <v>-53961.439999999478</v>
      </c>
    </row>
    <row r="125" spans="1:8" ht="15.75" x14ac:dyDescent="0.25">
      <c r="A125" s="210">
        <f t="shared" si="2"/>
        <v>115</v>
      </c>
      <c r="B125" s="213"/>
      <c r="C125" s="148" t="s">
        <v>382</v>
      </c>
      <c r="D125" s="214" t="s">
        <v>256</v>
      </c>
      <c r="E125" s="214" t="s">
        <v>256</v>
      </c>
      <c r="F125" s="215">
        <v>39068.949999999997</v>
      </c>
      <c r="G125" s="215"/>
      <c r="H125" s="209">
        <f t="shared" si="1"/>
        <v>-14892.489999999481</v>
      </c>
    </row>
    <row r="126" spans="1:8" ht="15.75" x14ac:dyDescent="0.25">
      <c r="A126" s="210">
        <f t="shared" si="2"/>
        <v>116</v>
      </c>
      <c r="B126" s="213"/>
      <c r="C126" s="148" t="s">
        <v>383</v>
      </c>
      <c r="D126" s="214" t="s">
        <v>256</v>
      </c>
      <c r="E126" s="214" t="s">
        <v>256</v>
      </c>
      <c r="F126" s="215">
        <v>62638.04</v>
      </c>
      <c r="G126" s="215"/>
      <c r="H126" s="209">
        <f t="shared" si="1"/>
        <v>47745.55000000052</v>
      </c>
    </row>
    <row r="127" spans="1:8" ht="15.75" x14ac:dyDescent="0.25">
      <c r="A127" s="210">
        <f t="shared" si="2"/>
        <v>117</v>
      </c>
      <c r="B127" s="213"/>
      <c r="C127" s="148" t="s">
        <v>384</v>
      </c>
      <c r="D127" s="214" t="s">
        <v>256</v>
      </c>
      <c r="E127" s="214" t="s">
        <v>256</v>
      </c>
      <c r="F127" s="215">
        <v>49015.01</v>
      </c>
      <c r="G127" s="215"/>
      <c r="H127" s="209">
        <f t="shared" si="1"/>
        <v>96760.560000000522</v>
      </c>
    </row>
    <row r="128" spans="1:8" ht="15.75" x14ac:dyDescent="0.25">
      <c r="A128" s="210">
        <f t="shared" si="2"/>
        <v>118</v>
      </c>
      <c r="B128" s="213"/>
      <c r="C128" s="148" t="s">
        <v>385</v>
      </c>
      <c r="D128" s="214" t="s">
        <v>256</v>
      </c>
      <c r="E128" s="214" t="s">
        <v>256</v>
      </c>
      <c r="F128" s="215">
        <v>55109.01</v>
      </c>
      <c r="G128" s="215"/>
      <c r="H128" s="209">
        <f t="shared" si="1"/>
        <v>151869.57000000053</v>
      </c>
    </row>
    <row r="129" spans="1:197" ht="15.75" x14ac:dyDescent="0.25">
      <c r="A129" s="210">
        <f t="shared" si="2"/>
        <v>119</v>
      </c>
      <c r="B129" s="213"/>
      <c r="C129" s="148"/>
      <c r="D129" s="214" t="s">
        <v>256</v>
      </c>
      <c r="E129" s="214" t="s">
        <v>256</v>
      </c>
      <c r="F129" s="215"/>
      <c r="G129" s="215">
        <v>61401.45</v>
      </c>
      <c r="H129" s="209">
        <f t="shared" si="1"/>
        <v>90468.120000000534</v>
      </c>
    </row>
    <row r="130" spans="1:197" ht="15.75" x14ac:dyDescent="0.25">
      <c r="A130" s="210">
        <f t="shared" si="2"/>
        <v>120</v>
      </c>
      <c r="B130" s="213"/>
      <c r="C130" s="224"/>
      <c r="D130" s="214" t="s">
        <v>256</v>
      </c>
      <c r="E130" s="214" t="s">
        <v>256</v>
      </c>
      <c r="F130" s="215">
        <v>449724.95</v>
      </c>
      <c r="G130" s="215"/>
      <c r="H130" s="209">
        <f t="shared" si="1"/>
        <v>540193.07000000053</v>
      </c>
    </row>
    <row r="131" spans="1:197" ht="15.75" x14ac:dyDescent="0.25">
      <c r="A131" s="210">
        <f t="shared" si="2"/>
        <v>121</v>
      </c>
      <c r="B131" s="213"/>
      <c r="C131" s="148"/>
      <c r="D131" s="214" t="s">
        <v>256</v>
      </c>
      <c r="E131" s="214" t="s">
        <v>256</v>
      </c>
      <c r="F131" s="215">
        <v>62813.53</v>
      </c>
      <c r="G131" s="215"/>
      <c r="H131" s="209">
        <f>+H130+F131-G131</f>
        <v>603006.60000000056</v>
      </c>
    </row>
    <row r="132" spans="1:197" s="3" customFormat="1" ht="15.75" x14ac:dyDescent="0.25">
      <c r="A132" s="210">
        <f t="shared" si="2"/>
        <v>122</v>
      </c>
      <c r="B132" s="225"/>
      <c r="C132" s="226"/>
      <c r="D132" s="214" t="s">
        <v>256</v>
      </c>
      <c r="E132" s="214" t="s">
        <v>256</v>
      </c>
      <c r="F132" s="227">
        <v>615575.30000000005</v>
      </c>
      <c r="G132" s="228"/>
      <c r="H132" s="20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</row>
    <row r="133" spans="1:197" ht="15.75" x14ac:dyDescent="0.25">
      <c r="A133" s="210">
        <v>123</v>
      </c>
      <c r="B133" s="148"/>
      <c r="C133" s="148"/>
      <c r="D133" s="214" t="s">
        <v>256</v>
      </c>
      <c r="E133" s="214" t="s">
        <v>256</v>
      </c>
      <c r="F133" s="209"/>
      <c r="G133" s="209"/>
      <c r="H133" s="209"/>
    </row>
    <row r="134" spans="1:197" ht="16.5" thickBot="1" x14ac:dyDescent="0.3">
      <c r="A134" s="176"/>
      <c r="B134" s="177"/>
      <c r="C134" s="177" t="s">
        <v>12</v>
      </c>
      <c r="D134" s="177"/>
      <c r="E134" s="177"/>
      <c r="F134" s="229">
        <f>SUM(F13:F133)</f>
        <v>16560293.839999994</v>
      </c>
      <c r="G134" s="229">
        <f>SUM(G13:G133)</f>
        <v>16527757.489999996</v>
      </c>
      <c r="H134" s="229">
        <f>F134-G134</f>
        <v>32536.349999997765</v>
      </c>
    </row>
    <row r="135" spans="1:197" ht="15.75" x14ac:dyDescent="0.25">
      <c r="A135" s="81"/>
      <c r="B135" s="81"/>
      <c r="C135" s="81"/>
      <c r="D135" s="81"/>
      <c r="E135" s="81"/>
      <c r="F135" s="178"/>
      <c r="G135" s="178"/>
      <c r="H135" s="178"/>
    </row>
    <row r="136" spans="1:197" ht="15.75" x14ac:dyDescent="0.25">
      <c r="A136" s="81"/>
      <c r="B136" s="81"/>
      <c r="C136" s="81"/>
      <c r="D136" s="81"/>
      <c r="E136" s="81"/>
      <c r="F136" s="81"/>
      <c r="G136" s="81"/>
      <c r="H136" s="81"/>
    </row>
    <row r="139" spans="1:197" x14ac:dyDescent="0.25">
      <c r="F139" s="12"/>
    </row>
    <row r="143" spans="1:197" x14ac:dyDescent="0.25">
      <c r="A143" s="5" t="s">
        <v>4</v>
      </c>
      <c r="B143" s="5"/>
      <c r="C143" s="5"/>
      <c r="D143" s="5"/>
      <c r="E143" s="5"/>
      <c r="F143" s="5"/>
      <c r="G143" s="5"/>
      <c r="H143" s="5"/>
    </row>
    <row r="144" spans="1:197" x14ac:dyDescent="0.25">
      <c r="A144" s="5" t="s">
        <v>5</v>
      </c>
      <c r="B144" s="6" t="s">
        <v>248</v>
      </c>
      <c r="C144" s="6"/>
      <c r="D144" s="6"/>
      <c r="E144" s="6"/>
      <c r="F144" s="6"/>
    </row>
  </sheetData>
  <mergeCells count="2">
    <mergeCell ref="A5:H5"/>
    <mergeCell ref="A8:H8"/>
  </mergeCells>
  <pageMargins left="0.7" right="0.7" top="0.75" bottom="0.75" header="0.3" footer="0.3"/>
  <pageSetup paperSize="9" scale="77" fitToHeight="0" orientation="landscape" r:id="rId1"/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8"/>
  <sheetViews>
    <sheetView view="pageBreakPreview" topLeftCell="A4" zoomScale="50" zoomScaleNormal="100" zoomScaleSheetLayoutView="50" workbookViewId="0">
      <selection activeCell="D15" sqref="D15"/>
    </sheetView>
  </sheetViews>
  <sheetFormatPr defaultColWidth="9.140625" defaultRowHeight="15" x14ac:dyDescent="0.25"/>
  <cols>
    <col min="1" max="1" width="11.28515625" style="1" customWidth="1"/>
    <col min="2" max="2" width="21.7109375" style="1" customWidth="1"/>
    <col min="3" max="3" width="64.42578125" style="1" bestFit="1" customWidth="1"/>
    <col min="4" max="4" width="55.140625" style="1" customWidth="1"/>
    <col min="5" max="5" width="62" style="1" customWidth="1"/>
    <col min="6" max="6" width="84.7109375" style="1" customWidth="1"/>
    <col min="7" max="7" width="123.42578125" style="1" customWidth="1"/>
    <col min="8" max="16384" width="9.140625" style="1"/>
  </cols>
  <sheetData>
    <row r="1" spans="1:7" s="4" customFormat="1" ht="30" customHeight="1" x14ac:dyDescent="0.25">
      <c r="A1" s="82" t="str">
        <f>+Acess!A1</f>
        <v>Empresa: Mozambique Support Services, Lda</v>
      </c>
      <c r="B1" s="82"/>
      <c r="C1" s="82"/>
      <c r="D1" s="82"/>
      <c r="E1" s="82"/>
      <c r="F1" s="82"/>
      <c r="G1" s="82"/>
    </row>
    <row r="2" spans="1:7" ht="39" customHeight="1" x14ac:dyDescent="0.25">
      <c r="A2" s="82" t="str">
        <f>+Acess!A2</f>
        <v xml:space="preserve">Nuit: </v>
      </c>
      <c r="B2" s="81"/>
      <c r="C2" s="81"/>
      <c r="D2" s="81"/>
      <c r="E2" s="81"/>
      <c r="F2" s="81"/>
      <c r="G2" s="81"/>
    </row>
    <row r="3" spans="1:7" ht="15.75" x14ac:dyDescent="0.25">
      <c r="A3" s="82" t="str">
        <f>+Acess!A3</f>
        <v xml:space="preserve">Periodo: </v>
      </c>
      <c r="B3" s="81"/>
      <c r="C3" s="81"/>
      <c r="D3" s="81"/>
      <c r="E3" s="81"/>
      <c r="F3" s="81"/>
      <c r="G3" s="81"/>
    </row>
    <row r="4" spans="1:7" ht="15.75" x14ac:dyDescent="0.25">
      <c r="A4" s="82">
        <f>+Acess!A4</f>
        <v>0</v>
      </c>
      <c r="B4" s="81"/>
      <c r="C4" s="81"/>
      <c r="D4" s="81"/>
      <c r="E4" s="81"/>
      <c r="F4" s="81"/>
      <c r="G4" s="81"/>
    </row>
    <row r="5" spans="1:7" s="4" customFormat="1" ht="16.5" thickBot="1" x14ac:dyDescent="0.3">
      <c r="A5" s="304" t="s">
        <v>6</v>
      </c>
      <c r="B5" s="304"/>
      <c r="C5" s="304"/>
      <c r="D5" s="304"/>
      <c r="E5" s="304"/>
      <c r="F5" s="304"/>
      <c r="G5" s="304"/>
    </row>
    <row r="6" spans="1:7" ht="36.75" customHeight="1" thickTop="1" x14ac:dyDescent="0.25">
      <c r="A6" s="81"/>
      <c r="B6" s="81"/>
      <c r="C6" s="81"/>
      <c r="D6" s="81"/>
      <c r="E6" s="81"/>
      <c r="F6" s="81"/>
      <c r="G6" s="81"/>
    </row>
    <row r="7" spans="1:7" ht="15.75" x14ac:dyDescent="0.25">
      <c r="A7" s="82" t="s">
        <v>102</v>
      </c>
      <c r="B7" s="81"/>
      <c r="C7" s="81"/>
      <c r="D7" s="81"/>
      <c r="E7" s="81"/>
      <c r="F7" s="81"/>
      <c r="G7" s="81"/>
    </row>
    <row r="8" spans="1:7" ht="32.25" customHeight="1" thickBot="1" x14ac:dyDescent="0.3">
      <c r="A8" s="304" t="s">
        <v>14</v>
      </c>
      <c r="B8" s="304"/>
      <c r="C8" s="304"/>
      <c r="D8" s="304"/>
      <c r="E8" s="304"/>
      <c r="F8" s="304"/>
      <c r="G8" s="304"/>
    </row>
    <row r="9" spans="1:7" ht="17.25" thickTop="1" thickBot="1" x14ac:dyDescent="0.3">
      <c r="A9" s="81"/>
      <c r="B9" s="81"/>
      <c r="C9" s="81"/>
      <c r="D9" s="81"/>
      <c r="E9" s="81"/>
      <c r="F9" s="81"/>
      <c r="G9" s="145"/>
    </row>
    <row r="10" spans="1:7" s="4" customFormat="1" ht="27.75" customHeight="1" x14ac:dyDescent="0.25">
      <c r="A10" s="146" t="s">
        <v>0</v>
      </c>
      <c r="B10" s="147" t="s">
        <v>1</v>
      </c>
      <c r="C10" s="147" t="s">
        <v>2</v>
      </c>
      <c r="D10" s="147" t="s">
        <v>7</v>
      </c>
      <c r="E10" s="147" t="s">
        <v>8</v>
      </c>
      <c r="F10" s="147" t="s">
        <v>9</v>
      </c>
      <c r="G10" s="148" t="s">
        <v>3</v>
      </c>
    </row>
    <row r="11" spans="1:7" ht="35.25" customHeight="1" x14ac:dyDescent="0.25">
      <c r="A11" s="149"/>
      <c r="B11" s="86"/>
      <c r="C11" s="86"/>
      <c r="D11" s="86"/>
      <c r="E11" s="86"/>
      <c r="F11" s="86"/>
      <c r="G11" s="86"/>
    </row>
    <row r="12" spans="1:7" ht="35.25" customHeight="1" x14ac:dyDescent="0.25">
      <c r="A12" s="149"/>
      <c r="B12" s="87"/>
      <c r="C12" s="86"/>
      <c r="D12" s="150"/>
      <c r="E12" s="86"/>
      <c r="F12" s="150">
        <f>+F11+D12-E12</f>
        <v>0</v>
      </c>
      <c r="G12" s="86"/>
    </row>
    <row r="13" spans="1:7" ht="28.5" customHeight="1" x14ac:dyDescent="0.25">
      <c r="A13" s="149"/>
      <c r="B13" s="87"/>
      <c r="C13" s="86"/>
      <c r="D13" s="151"/>
      <c r="E13" s="151"/>
      <c r="F13" s="150">
        <f t="shared" ref="F13:F76" si="0">+F12+D13-E13</f>
        <v>0</v>
      </c>
      <c r="G13" s="151"/>
    </row>
    <row r="14" spans="1:7" ht="30" customHeight="1" x14ac:dyDescent="0.25">
      <c r="A14" s="149"/>
      <c r="B14" s="87"/>
      <c r="C14" s="86"/>
      <c r="D14" s="151"/>
      <c r="E14" s="151"/>
      <c r="F14" s="150">
        <f t="shared" si="0"/>
        <v>0</v>
      </c>
      <c r="G14" s="151"/>
    </row>
    <row r="15" spans="1:7" ht="30" customHeight="1" x14ac:dyDescent="0.25">
      <c r="A15" s="149"/>
      <c r="B15" s="87"/>
      <c r="C15" s="86"/>
      <c r="D15" s="151"/>
      <c r="E15" s="151"/>
      <c r="F15" s="150">
        <f t="shared" si="0"/>
        <v>0</v>
      </c>
      <c r="G15" s="151"/>
    </row>
    <row r="16" spans="1:7" ht="31.5" customHeight="1" x14ac:dyDescent="0.25">
      <c r="A16" s="149"/>
      <c r="B16" s="87"/>
      <c r="C16" s="86"/>
      <c r="D16" s="151"/>
      <c r="E16" s="151"/>
      <c r="F16" s="150">
        <f t="shared" si="0"/>
        <v>0</v>
      </c>
      <c r="G16" s="151"/>
    </row>
    <row r="17" spans="1:7" ht="31.5" customHeight="1" x14ac:dyDescent="0.25">
      <c r="A17" s="149"/>
      <c r="B17" s="87"/>
      <c r="C17" s="86"/>
      <c r="D17" s="151"/>
      <c r="E17" s="151"/>
      <c r="F17" s="150">
        <f t="shared" si="0"/>
        <v>0</v>
      </c>
      <c r="G17" s="151"/>
    </row>
    <row r="18" spans="1:7" ht="33" customHeight="1" x14ac:dyDescent="0.25">
      <c r="A18" s="149"/>
      <c r="B18" s="87"/>
      <c r="C18" s="86"/>
      <c r="D18" s="151"/>
      <c r="E18" s="151"/>
      <c r="F18" s="150">
        <f t="shared" si="0"/>
        <v>0</v>
      </c>
      <c r="G18" s="151"/>
    </row>
    <row r="19" spans="1:7" ht="19.5" customHeight="1" x14ac:dyDescent="0.25">
      <c r="A19" s="149"/>
      <c r="B19" s="87"/>
      <c r="C19" s="86"/>
      <c r="D19" s="151"/>
      <c r="E19" s="151"/>
      <c r="F19" s="150">
        <f t="shared" si="0"/>
        <v>0</v>
      </c>
      <c r="G19" s="151"/>
    </row>
    <row r="20" spans="1:7" ht="31.5" hidden="1" customHeight="1" x14ac:dyDescent="0.25">
      <c r="A20" s="149"/>
      <c r="B20" s="87"/>
      <c r="C20" s="86"/>
      <c r="D20" s="151"/>
      <c r="E20" s="151"/>
      <c r="F20" s="150">
        <f t="shared" si="0"/>
        <v>0</v>
      </c>
      <c r="G20" s="151"/>
    </row>
    <row r="21" spans="1:7" ht="34.5" hidden="1" customHeight="1" x14ac:dyDescent="0.25">
      <c r="A21" s="149"/>
      <c r="B21" s="87"/>
      <c r="C21" s="86"/>
      <c r="D21" s="151"/>
      <c r="E21" s="151"/>
      <c r="F21" s="150">
        <f t="shared" si="0"/>
        <v>0</v>
      </c>
      <c r="G21" s="151"/>
    </row>
    <row r="22" spans="1:7" ht="15.75" x14ac:dyDescent="0.25">
      <c r="A22" s="149"/>
      <c r="B22" s="87"/>
      <c r="C22" s="86"/>
      <c r="D22" s="151"/>
      <c r="E22" s="151"/>
      <c r="F22" s="150">
        <f t="shared" si="0"/>
        <v>0</v>
      </c>
      <c r="G22" s="151"/>
    </row>
    <row r="23" spans="1:7" ht="15.75" x14ac:dyDescent="0.25">
      <c r="A23" s="149"/>
      <c r="B23" s="87"/>
      <c r="C23" s="86"/>
      <c r="D23" s="151"/>
      <c r="E23" s="151"/>
      <c r="F23" s="150">
        <f t="shared" si="0"/>
        <v>0</v>
      </c>
      <c r="G23" s="151"/>
    </row>
    <row r="24" spans="1:7" ht="15.75" x14ac:dyDescent="0.25">
      <c r="A24" s="149"/>
      <c r="B24" s="87"/>
      <c r="C24" s="86"/>
      <c r="D24" s="151"/>
      <c r="E24" s="151"/>
      <c r="F24" s="150">
        <f t="shared" si="0"/>
        <v>0</v>
      </c>
      <c r="G24" s="151"/>
    </row>
    <row r="25" spans="1:7" ht="15.75" x14ac:dyDescent="0.25">
      <c r="A25" s="149"/>
      <c r="B25" s="87"/>
      <c r="C25" s="86"/>
      <c r="D25" s="151"/>
      <c r="E25" s="151"/>
      <c r="F25" s="150">
        <f t="shared" si="0"/>
        <v>0</v>
      </c>
      <c r="G25" s="151"/>
    </row>
    <row r="26" spans="1:7" ht="15.75" x14ac:dyDescent="0.25">
      <c r="A26" s="149"/>
      <c r="B26" s="87"/>
      <c r="C26" s="86"/>
      <c r="D26" s="151"/>
      <c r="E26" s="151"/>
      <c r="F26" s="150">
        <f t="shared" si="0"/>
        <v>0</v>
      </c>
      <c r="G26" s="151"/>
    </row>
    <row r="27" spans="1:7" ht="15.75" x14ac:dyDescent="0.25">
      <c r="A27" s="149"/>
      <c r="B27" s="87"/>
      <c r="C27" s="86"/>
      <c r="D27" s="151"/>
      <c r="E27" s="151"/>
      <c r="F27" s="150">
        <f t="shared" si="0"/>
        <v>0</v>
      </c>
      <c r="G27" s="151"/>
    </row>
    <row r="28" spans="1:7" ht="15.75" x14ac:dyDescent="0.25">
      <c r="A28" s="149"/>
      <c r="B28" s="87"/>
      <c r="C28" s="86"/>
      <c r="D28" s="151"/>
      <c r="E28" s="151"/>
      <c r="F28" s="150">
        <f t="shared" si="0"/>
        <v>0</v>
      </c>
      <c r="G28" s="151"/>
    </row>
    <row r="29" spans="1:7" ht="15.75" x14ac:dyDescent="0.25">
      <c r="A29" s="149"/>
      <c r="B29" s="87"/>
      <c r="C29" s="86"/>
      <c r="D29" s="151"/>
      <c r="E29" s="151"/>
      <c r="F29" s="150">
        <f t="shared" si="0"/>
        <v>0</v>
      </c>
      <c r="G29" s="151"/>
    </row>
    <row r="30" spans="1:7" ht="15.75" x14ac:dyDescent="0.25">
      <c r="A30" s="149"/>
      <c r="B30" s="87"/>
      <c r="C30" s="86"/>
      <c r="D30" s="151"/>
      <c r="E30" s="151"/>
      <c r="F30" s="150">
        <f t="shared" si="0"/>
        <v>0</v>
      </c>
      <c r="G30" s="151"/>
    </row>
    <row r="31" spans="1:7" ht="15.75" x14ac:dyDescent="0.25">
      <c r="A31" s="149"/>
      <c r="B31" s="87"/>
      <c r="C31" s="86"/>
      <c r="D31" s="151"/>
      <c r="E31" s="151"/>
      <c r="F31" s="150">
        <f t="shared" si="0"/>
        <v>0</v>
      </c>
      <c r="G31" s="151"/>
    </row>
    <row r="32" spans="1:7" ht="15.75" x14ac:dyDescent="0.25">
      <c r="A32" s="149"/>
      <c r="B32" s="87"/>
      <c r="C32" s="86"/>
      <c r="D32" s="151"/>
      <c r="E32" s="151"/>
      <c r="F32" s="150">
        <f t="shared" si="0"/>
        <v>0</v>
      </c>
      <c r="G32" s="151"/>
    </row>
    <row r="33" spans="1:7" ht="15.75" x14ac:dyDescent="0.25">
      <c r="A33" s="149"/>
      <c r="B33" s="87"/>
      <c r="C33" s="86"/>
      <c r="D33" s="151"/>
      <c r="E33" s="151"/>
      <c r="F33" s="150">
        <f t="shared" si="0"/>
        <v>0</v>
      </c>
      <c r="G33" s="151"/>
    </row>
    <row r="34" spans="1:7" ht="15.75" x14ac:dyDescent="0.25">
      <c r="A34" s="149"/>
      <c r="B34" s="87"/>
      <c r="C34" s="86"/>
      <c r="D34" s="151"/>
      <c r="E34" s="151"/>
      <c r="F34" s="150">
        <f t="shared" si="0"/>
        <v>0</v>
      </c>
      <c r="G34" s="151"/>
    </row>
    <row r="35" spans="1:7" ht="15.75" x14ac:dyDescent="0.25">
      <c r="A35" s="149"/>
      <c r="B35" s="87"/>
      <c r="C35" s="86"/>
      <c r="D35" s="151"/>
      <c r="E35" s="151"/>
      <c r="F35" s="150">
        <f t="shared" si="0"/>
        <v>0</v>
      </c>
      <c r="G35" s="151"/>
    </row>
    <row r="36" spans="1:7" ht="15.75" x14ac:dyDescent="0.25">
      <c r="A36" s="149"/>
      <c r="B36" s="87"/>
      <c r="C36" s="86"/>
      <c r="D36" s="151"/>
      <c r="E36" s="151"/>
      <c r="F36" s="150">
        <f t="shared" si="0"/>
        <v>0</v>
      </c>
      <c r="G36" s="151"/>
    </row>
    <row r="37" spans="1:7" ht="15.75" x14ac:dyDescent="0.25">
      <c r="A37" s="149"/>
      <c r="B37" s="87"/>
      <c r="C37" s="86"/>
      <c r="D37" s="151"/>
      <c r="E37" s="151"/>
      <c r="F37" s="150">
        <f t="shared" si="0"/>
        <v>0</v>
      </c>
      <c r="G37" s="151"/>
    </row>
    <row r="38" spans="1:7" ht="15.75" x14ac:dyDescent="0.25">
      <c r="A38" s="149"/>
      <c r="B38" s="87"/>
      <c r="C38" s="81"/>
      <c r="D38" s="151"/>
      <c r="E38" s="151"/>
      <c r="F38" s="150">
        <f t="shared" si="0"/>
        <v>0</v>
      </c>
      <c r="G38" s="151"/>
    </row>
    <row r="39" spans="1:7" ht="15.75" x14ac:dyDescent="0.25">
      <c r="A39" s="149"/>
      <c r="B39" s="87"/>
      <c r="C39" s="86"/>
      <c r="D39" s="151"/>
      <c r="E39" s="151"/>
      <c r="F39" s="150">
        <f t="shared" si="0"/>
        <v>0</v>
      </c>
      <c r="G39" s="151"/>
    </row>
    <row r="40" spans="1:7" ht="15.75" x14ac:dyDescent="0.25">
      <c r="A40" s="149"/>
      <c r="B40" s="87"/>
      <c r="C40" s="86"/>
      <c r="D40" s="151"/>
      <c r="E40" s="151"/>
      <c r="F40" s="150">
        <f t="shared" si="0"/>
        <v>0</v>
      </c>
      <c r="G40" s="151"/>
    </row>
    <row r="41" spans="1:7" ht="15.75" x14ac:dyDescent="0.25">
      <c r="A41" s="149"/>
      <c r="B41" s="87"/>
      <c r="C41" s="86"/>
      <c r="D41" s="151"/>
      <c r="E41" s="151"/>
      <c r="F41" s="150">
        <f t="shared" si="0"/>
        <v>0</v>
      </c>
      <c r="G41" s="151"/>
    </row>
    <row r="42" spans="1:7" ht="15.75" x14ac:dyDescent="0.25">
      <c r="A42" s="149"/>
      <c r="B42" s="87"/>
      <c r="C42" s="86"/>
      <c r="D42" s="151"/>
      <c r="E42" s="151"/>
      <c r="F42" s="150">
        <f t="shared" si="0"/>
        <v>0</v>
      </c>
      <c r="G42" s="151"/>
    </row>
    <row r="43" spans="1:7" ht="15.75" x14ac:dyDescent="0.25">
      <c r="A43" s="149"/>
      <c r="B43" s="87"/>
      <c r="C43" s="86"/>
      <c r="D43" s="151"/>
      <c r="E43" s="151"/>
      <c r="F43" s="150">
        <f t="shared" si="0"/>
        <v>0</v>
      </c>
      <c r="G43" s="151"/>
    </row>
    <row r="44" spans="1:7" ht="15.75" x14ac:dyDescent="0.25">
      <c r="A44" s="149"/>
      <c r="B44" s="87"/>
      <c r="C44" s="81"/>
      <c r="D44" s="151"/>
      <c r="E44" s="151"/>
      <c r="F44" s="150">
        <f t="shared" si="0"/>
        <v>0</v>
      </c>
      <c r="G44" s="151"/>
    </row>
    <row r="45" spans="1:7" ht="15.75" x14ac:dyDescent="0.25">
      <c r="A45" s="149"/>
      <c r="B45" s="87"/>
      <c r="C45" s="86"/>
      <c r="D45" s="151"/>
      <c r="E45" s="151"/>
      <c r="F45" s="150">
        <f t="shared" si="0"/>
        <v>0</v>
      </c>
      <c r="G45" s="151"/>
    </row>
    <row r="46" spans="1:7" ht="15.75" x14ac:dyDescent="0.25">
      <c r="A46" s="149"/>
      <c r="B46" s="87"/>
      <c r="C46" s="86"/>
      <c r="D46" s="151"/>
      <c r="E46" s="151"/>
      <c r="F46" s="150">
        <f t="shared" si="0"/>
        <v>0</v>
      </c>
      <c r="G46" s="151"/>
    </row>
    <row r="47" spans="1:7" ht="15.75" x14ac:dyDescent="0.25">
      <c r="A47" s="149"/>
      <c r="B47" s="87"/>
      <c r="C47" s="86"/>
      <c r="D47" s="151"/>
      <c r="E47" s="151"/>
      <c r="F47" s="150">
        <f t="shared" si="0"/>
        <v>0</v>
      </c>
      <c r="G47" s="151"/>
    </row>
    <row r="48" spans="1:7" ht="15.75" x14ac:dyDescent="0.25">
      <c r="A48" s="149"/>
      <c r="B48" s="87"/>
      <c r="C48" s="86"/>
      <c r="D48" s="151"/>
      <c r="E48" s="151"/>
      <c r="F48" s="150">
        <f t="shared" si="0"/>
        <v>0</v>
      </c>
      <c r="G48" s="151"/>
    </row>
    <row r="49" spans="1:7" ht="15.75" x14ac:dyDescent="0.25">
      <c r="A49" s="149"/>
      <c r="B49" s="87"/>
      <c r="C49" s="86"/>
      <c r="D49" s="151"/>
      <c r="E49" s="151"/>
      <c r="F49" s="150">
        <f t="shared" si="0"/>
        <v>0</v>
      </c>
      <c r="G49" s="151"/>
    </row>
    <row r="50" spans="1:7" ht="15.75" x14ac:dyDescent="0.25">
      <c r="A50" s="149"/>
      <c r="B50" s="87"/>
      <c r="C50" s="86"/>
      <c r="D50" s="151"/>
      <c r="E50" s="151"/>
      <c r="F50" s="150">
        <f t="shared" si="0"/>
        <v>0</v>
      </c>
      <c r="G50" s="151"/>
    </row>
    <row r="51" spans="1:7" ht="15.75" x14ac:dyDescent="0.25">
      <c r="A51" s="149"/>
      <c r="B51" s="87"/>
      <c r="C51" s="86"/>
      <c r="D51" s="151"/>
      <c r="E51" s="151"/>
      <c r="F51" s="150">
        <f t="shared" si="0"/>
        <v>0</v>
      </c>
      <c r="G51" s="151"/>
    </row>
    <row r="52" spans="1:7" ht="15.75" x14ac:dyDescent="0.25">
      <c r="A52" s="149"/>
      <c r="B52" s="87"/>
      <c r="C52" s="81"/>
      <c r="D52" s="151"/>
      <c r="E52" s="151"/>
      <c r="F52" s="150">
        <f t="shared" si="0"/>
        <v>0</v>
      </c>
      <c r="G52" s="151"/>
    </row>
    <row r="53" spans="1:7" ht="15.75" x14ac:dyDescent="0.25">
      <c r="A53" s="149"/>
      <c r="B53" s="87"/>
      <c r="C53" s="86"/>
      <c r="D53" s="151"/>
      <c r="E53" s="151"/>
      <c r="F53" s="150">
        <f t="shared" si="0"/>
        <v>0</v>
      </c>
      <c r="G53" s="151"/>
    </row>
    <row r="54" spans="1:7" ht="15.75" x14ac:dyDescent="0.25">
      <c r="A54" s="149"/>
      <c r="B54" s="87"/>
      <c r="C54" s="86"/>
      <c r="D54" s="151"/>
      <c r="E54" s="151"/>
      <c r="F54" s="150">
        <f t="shared" si="0"/>
        <v>0</v>
      </c>
      <c r="G54" s="151"/>
    </row>
    <row r="55" spans="1:7" ht="15.75" x14ac:dyDescent="0.25">
      <c r="A55" s="149"/>
      <c r="B55" s="87"/>
      <c r="C55" s="86"/>
      <c r="D55" s="151"/>
      <c r="E55" s="151"/>
      <c r="F55" s="150">
        <f t="shared" si="0"/>
        <v>0</v>
      </c>
      <c r="G55" s="151"/>
    </row>
    <row r="56" spans="1:7" ht="15.75" x14ac:dyDescent="0.25">
      <c r="A56" s="149"/>
      <c r="B56" s="87"/>
      <c r="C56" s="86"/>
      <c r="D56" s="151"/>
      <c r="E56" s="151"/>
      <c r="F56" s="150">
        <f t="shared" si="0"/>
        <v>0</v>
      </c>
      <c r="G56" s="151"/>
    </row>
    <row r="57" spans="1:7" ht="15.75" x14ac:dyDescent="0.25">
      <c r="A57" s="149"/>
      <c r="B57" s="87"/>
      <c r="C57" s="86"/>
      <c r="D57" s="151"/>
      <c r="E57" s="151"/>
      <c r="F57" s="150">
        <f t="shared" si="0"/>
        <v>0</v>
      </c>
      <c r="G57" s="151"/>
    </row>
    <row r="58" spans="1:7" ht="15.75" x14ac:dyDescent="0.25">
      <c r="A58" s="149"/>
      <c r="B58" s="87"/>
      <c r="C58" s="86"/>
      <c r="D58" s="151"/>
      <c r="E58" s="151"/>
      <c r="F58" s="150">
        <f t="shared" si="0"/>
        <v>0</v>
      </c>
      <c r="G58" s="151"/>
    </row>
    <row r="59" spans="1:7" ht="15.75" x14ac:dyDescent="0.25">
      <c r="A59" s="149"/>
      <c r="B59" s="87"/>
      <c r="C59" s="86"/>
      <c r="D59" s="151"/>
      <c r="E59" s="151"/>
      <c r="F59" s="150">
        <f t="shared" si="0"/>
        <v>0</v>
      </c>
      <c r="G59" s="151"/>
    </row>
    <row r="60" spans="1:7" ht="15.75" x14ac:dyDescent="0.25">
      <c r="A60" s="149"/>
      <c r="B60" s="87"/>
      <c r="C60" s="86"/>
      <c r="D60" s="151"/>
      <c r="E60" s="151"/>
      <c r="F60" s="150">
        <f t="shared" si="0"/>
        <v>0</v>
      </c>
      <c r="G60" s="151"/>
    </row>
    <row r="61" spans="1:7" ht="15.75" x14ac:dyDescent="0.25">
      <c r="A61" s="149"/>
      <c r="B61" s="87"/>
      <c r="C61" s="86"/>
      <c r="D61" s="151"/>
      <c r="E61" s="151"/>
      <c r="F61" s="150">
        <f t="shared" si="0"/>
        <v>0</v>
      </c>
      <c r="G61" s="151"/>
    </row>
    <row r="62" spans="1:7" ht="15.75" x14ac:dyDescent="0.25">
      <c r="A62" s="149"/>
      <c r="B62" s="87"/>
      <c r="C62" s="86"/>
      <c r="D62" s="151"/>
      <c r="E62" s="151"/>
      <c r="F62" s="150">
        <f t="shared" si="0"/>
        <v>0</v>
      </c>
      <c r="G62" s="151"/>
    </row>
    <row r="63" spans="1:7" ht="15.75" x14ac:dyDescent="0.25">
      <c r="A63" s="149"/>
      <c r="B63" s="87"/>
      <c r="C63" s="86"/>
      <c r="D63" s="151"/>
      <c r="E63" s="151"/>
      <c r="F63" s="150">
        <f t="shared" si="0"/>
        <v>0</v>
      </c>
      <c r="G63" s="151"/>
    </row>
    <row r="64" spans="1:7" ht="15.75" x14ac:dyDescent="0.25">
      <c r="A64" s="149"/>
      <c r="B64" s="87"/>
      <c r="C64" s="86"/>
      <c r="D64" s="151"/>
      <c r="E64" s="151"/>
      <c r="F64" s="150">
        <f t="shared" si="0"/>
        <v>0</v>
      </c>
      <c r="G64" s="151"/>
    </row>
    <row r="65" spans="1:7" ht="15.75" x14ac:dyDescent="0.25">
      <c r="A65" s="149"/>
      <c r="B65" s="87"/>
      <c r="C65" s="86"/>
      <c r="D65" s="151"/>
      <c r="E65" s="151"/>
      <c r="F65" s="150">
        <f t="shared" si="0"/>
        <v>0</v>
      </c>
      <c r="G65" s="151"/>
    </row>
    <row r="66" spans="1:7" ht="15.75" x14ac:dyDescent="0.25">
      <c r="A66" s="149"/>
      <c r="B66" s="87"/>
      <c r="C66" s="86"/>
      <c r="D66" s="151"/>
      <c r="E66" s="151"/>
      <c r="F66" s="150">
        <f t="shared" si="0"/>
        <v>0</v>
      </c>
      <c r="G66" s="151"/>
    </row>
    <row r="67" spans="1:7" ht="15.75" x14ac:dyDescent="0.25">
      <c r="A67" s="149"/>
      <c r="B67" s="87"/>
      <c r="C67" s="86"/>
      <c r="D67" s="151"/>
      <c r="E67" s="151"/>
      <c r="F67" s="150">
        <f t="shared" si="0"/>
        <v>0</v>
      </c>
      <c r="G67" s="151"/>
    </row>
    <row r="68" spans="1:7" ht="15.75" x14ac:dyDescent="0.25">
      <c r="A68" s="149"/>
      <c r="B68" s="87"/>
      <c r="C68" s="86"/>
      <c r="D68" s="151"/>
      <c r="E68" s="151"/>
      <c r="F68" s="150">
        <f t="shared" si="0"/>
        <v>0</v>
      </c>
      <c r="G68" s="151"/>
    </row>
    <row r="69" spans="1:7" ht="15.75" x14ac:dyDescent="0.25">
      <c r="A69" s="149"/>
      <c r="B69" s="87"/>
      <c r="C69" s="86"/>
      <c r="D69" s="151"/>
      <c r="E69" s="151"/>
      <c r="F69" s="150">
        <f t="shared" si="0"/>
        <v>0</v>
      </c>
      <c r="G69" s="151"/>
    </row>
    <row r="70" spans="1:7" ht="15.75" x14ac:dyDescent="0.25">
      <c r="A70" s="149"/>
      <c r="B70" s="87"/>
      <c r="C70" s="86"/>
      <c r="D70" s="151"/>
      <c r="E70" s="151"/>
      <c r="F70" s="150">
        <f t="shared" si="0"/>
        <v>0</v>
      </c>
      <c r="G70" s="151"/>
    </row>
    <row r="71" spans="1:7" ht="15.75" x14ac:dyDescent="0.25">
      <c r="A71" s="149"/>
      <c r="B71" s="87"/>
      <c r="C71" s="86"/>
      <c r="D71" s="151"/>
      <c r="E71" s="151"/>
      <c r="F71" s="150">
        <f t="shared" si="0"/>
        <v>0</v>
      </c>
      <c r="G71" s="151"/>
    </row>
    <row r="72" spans="1:7" ht="15.75" x14ac:dyDescent="0.25">
      <c r="A72" s="149"/>
      <c r="B72" s="87"/>
      <c r="C72" s="86"/>
      <c r="D72" s="151"/>
      <c r="E72" s="151"/>
      <c r="F72" s="150">
        <f t="shared" si="0"/>
        <v>0</v>
      </c>
      <c r="G72" s="151"/>
    </row>
    <row r="73" spans="1:7" ht="15.75" x14ac:dyDescent="0.25">
      <c r="A73" s="149"/>
      <c r="B73" s="87"/>
      <c r="C73" s="86"/>
      <c r="D73" s="151"/>
      <c r="E73" s="151"/>
      <c r="F73" s="150">
        <f t="shared" si="0"/>
        <v>0</v>
      </c>
      <c r="G73" s="151"/>
    </row>
    <row r="74" spans="1:7" ht="15.75" x14ac:dyDescent="0.25">
      <c r="A74" s="149"/>
      <c r="B74" s="87"/>
      <c r="C74" s="86"/>
      <c r="D74" s="151"/>
      <c r="E74" s="151"/>
      <c r="F74" s="150">
        <f t="shared" si="0"/>
        <v>0</v>
      </c>
      <c r="G74" s="151"/>
    </row>
    <row r="75" spans="1:7" ht="15.75" x14ac:dyDescent="0.25">
      <c r="A75" s="149"/>
      <c r="B75" s="87"/>
      <c r="C75" s="86"/>
      <c r="D75" s="151"/>
      <c r="E75" s="151"/>
      <c r="F75" s="150">
        <f t="shared" si="0"/>
        <v>0</v>
      </c>
      <c r="G75" s="151"/>
    </row>
    <row r="76" spans="1:7" ht="15.75" x14ac:dyDescent="0.25">
      <c r="A76" s="149"/>
      <c r="B76" s="87"/>
      <c r="C76" s="86"/>
      <c r="D76" s="151"/>
      <c r="E76" s="151"/>
      <c r="F76" s="150">
        <f t="shared" si="0"/>
        <v>0</v>
      </c>
      <c r="G76" s="151"/>
    </row>
    <row r="77" spans="1:7" ht="15.75" x14ac:dyDescent="0.25">
      <c r="A77" s="149"/>
      <c r="B77" s="87"/>
      <c r="C77" s="86"/>
      <c r="D77" s="151"/>
      <c r="E77" s="151"/>
      <c r="F77" s="150">
        <f t="shared" ref="F77:F140" si="1">+F76+D77-E77</f>
        <v>0</v>
      </c>
      <c r="G77" s="151"/>
    </row>
    <row r="78" spans="1:7" ht="15.75" x14ac:dyDescent="0.25">
      <c r="A78" s="149"/>
      <c r="B78" s="87"/>
      <c r="C78" s="86"/>
      <c r="D78" s="151"/>
      <c r="E78" s="151"/>
      <c r="F78" s="150">
        <f t="shared" si="1"/>
        <v>0</v>
      </c>
      <c r="G78" s="151"/>
    </row>
    <row r="79" spans="1:7" ht="15.75" x14ac:dyDescent="0.25">
      <c r="A79" s="149"/>
      <c r="B79" s="87"/>
      <c r="C79" s="86"/>
      <c r="D79" s="151"/>
      <c r="E79" s="151"/>
      <c r="F79" s="150">
        <f t="shared" si="1"/>
        <v>0</v>
      </c>
      <c r="G79" s="151"/>
    </row>
    <row r="80" spans="1:7" ht="15.75" x14ac:dyDescent="0.25">
      <c r="A80" s="149"/>
      <c r="B80" s="87"/>
      <c r="C80" s="86"/>
      <c r="D80" s="151"/>
      <c r="E80" s="151"/>
      <c r="F80" s="150">
        <f t="shared" si="1"/>
        <v>0</v>
      </c>
      <c r="G80" s="151"/>
    </row>
    <row r="81" spans="1:7" ht="15.75" x14ac:dyDescent="0.25">
      <c r="A81" s="149"/>
      <c r="B81" s="87"/>
      <c r="C81" s="86"/>
      <c r="D81" s="151"/>
      <c r="E81" s="151"/>
      <c r="F81" s="150">
        <f t="shared" si="1"/>
        <v>0</v>
      </c>
      <c r="G81" s="151"/>
    </row>
    <row r="82" spans="1:7" ht="15.75" x14ac:dyDescent="0.25">
      <c r="A82" s="149"/>
      <c r="B82" s="87"/>
      <c r="C82" s="86"/>
      <c r="D82" s="151"/>
      <c r="E82" s="151"/>
      <c r="F82" s="150">
        <f t="shared" si="1"/>
        <v>0</v>
      </c>
      <c r="G82" s="151"/>
    </row>
    <row r="83" spans="1:7" ht="15.75" x14ac:dyDescent="0.25">
      <c r="A83" s="149"/>
      <c r="B83" s="87"/>
      <c r="C83" s="86"/>
      <c r="D83" s="151"/>
      <c r="E83" s="151"/>
      <c r="F83" s="150">
        <f t="shared" si="1"/>
        <v>0</v>
      </c>
      <c r="G83" s="151"/>
    </row>
    <row r="84" spans="1:7" ht="15.75" x14ac:dyDescent="0.25">
      <c r="A84" s="149"/>
      <c r="B84" s="87"/>
      <c r="C84" s="86"/>
      <c r="D84" s="151"/>
      <c r="E84" s="151"/>
      <c r="F84" s="150">
        <f t="shared" si="1"/>
        <v>0</v>
      </c>
      <c r="G84" s="151"/>
    </row>
    <row r="85" spans="1:7" ht="15.75" x14ac:dyDescent="0.25">
      <c r="A85" s="149"/>
      <c r="B85" s="87"/>
      <c r="C85" s="86"/>
      <c r="D85" s="151"/>
      <c r="E85" s="151"/>
      <c r="F85" s="150">
        <f t="shared" si="1"/>
        <v>0</v>
      </c>
      <c r="G85" s="151"/>
    </row>
    <row r="86" spans="1:7" ht="15.75" x14ac:dyDescent="0.25">
      <c r="A86" s="149"/>
      <c r="B86" s="87"/>
      <c r="C86" s="86"/>
      <c r="D86" s="151"/>
      <c r="E86" s="151"/>
      <c r="F86" s="150">
        <f t="shared" si="1"/>
        <v>0</v>
      </c>
      <c r="G86" s="151"/>
    </row>
    <row r="87" spans="1:7" ht="15.75" x14ac:dyDescent="0.25">
      <c r="A87" s="149"/>
      <c r="B87" s="87"/>
      <c r="C87" s="86"/>
      <c r="D87" s="151"/>
      <c r="E87" s="151"/>
      <c r="F87" s="150">
        <f t="shared" si="1"/>
        <v>0</v>
      </c>
      <c r="G87" s="151"/>
    </row>
    <row r="88" spans="1:7" ht="15.75" x14ac:dyDescent="0.25">
      <c r="A88" s="149"/>
      <c r="B88" s="87"/>
      <c r="C88" s="86"/>
      <c r="D88" s="151"/>
      <c r="E88" s="151"/>
      <c r="F88" s="150">
        <f t="shared" si="1"/>
        <v>0</v>
      </c>
      <c r="G88" s="151"/>
    </row>
    <row r="89" spans="1:7" ht="15.75" x14ac:dyDescent="0.25">
      <c r="A89" s="149"/>
      <c r="B89" s="87"/>
      <c r="C89" s="86"/>
      <c r="D89" s="151"/>
      <c r="E89" s="151"/>
      <c r="F89" s="150">
        <f t="shared" si="1"/>
        <v>0</v>
      </c>
      <c r="G89" s="151"/>
    </row>
    <row r="90" spans="1:7" ht="15.75" x14ac:dyDescent="0.25">
      <c r="A90" s="149"/>
      <c r="B90" s="87"/>
      <c r="C90" s="86"/>
      <c r="D90" s="151"/>
      <c r="E90" s="151"/>
      <c r="F90" s="150">
        <f t="shared" si="1"/>
        <v>0</v>
      </c>
      <c r="G90" s="151"/>
    </row>
    <row r="91" spans="1:7" ht="15.75" x14ac:dyDescent="0.25">
      <c r="A91" s="149"/>
      <c r="B91" s="87"/>
      <c r="C91" s="86"/>
      <c r="D91" s="151"/>
      <c r="E91" s="151"/>
      <c r="F91" s="150">
        <f t="shared" si="1"/>
        <v>0</v>
      </c>
      <c r="G91" s="151"/>
    </row>
    <row r="92" spans="1:7" ht="15.75" x14ac:dyDescent="0.25">
      <c r="A92" s="149"/>
      <c r="B92" s="87"/>
      <c r="C92" s="86"/>
      <c r="D92" s="151"/>
      <c r="E92" s="151"/>
      <c r="F92" s="150">
        <f t="shared" si="1"/>
        <v>0</v>
      </c>
      <c r="G92" s="151"/>
    </row>
    <row r="93" spans="1:7" ht="15.75" x14ac:dyDescent="0.25">
      <c r="A93" s="149"/>
      <c r="B93" s="87"/>
      <c r="C93" s="86"/>
      <c r="D93" s="151"/>
      <c r="E93" s="151"/>
      <c r="F93" s="150">
        <f t="shared" si="1"/>
        <v>0</v>
      </c>
      <c r="G93" s="151"/>
    </row>
    <row r="94" spans="1:7" ht="15.75" x14ac:dyDescent="0.25">
      <c r="A94" s="149"/>
      <c r="B94" s="87"/>
      <c r="C94" s="86"/>
      <c r="D94" s="151"/>
      <c r="E94" s="151"/>
      <c r="F94" s="150">
        <f t="shared" si="1"/>
        <v>0</v>
      </c>
      <c r="G94" s="151"/>
    </row>
    <row r="95" spans="1:7" ht="15.75" x14ac:dyDescent="0.25">
      <c r="A95" s="149"/>
      <c r="B95" s="87"/>
      <c r="C95" s="86"/>
      <c r="D95" s="151"/>
      <c r="E95" s="151"/>
      <c r="F95" s="150">
        <f t="shared" si="1"/>
        <v>0</v>
      </c>
      <c r="G95" s="151"/>
    </row>
    <row r="96" spans="1:7" ht="15.75" x14ac:dyDescent="0.25">
      <c r="A96" s="149"/>
      <c r="B96" s="87"/>
      <c r="C96" s="86"/>
      <c r="D96" s="151"/>
      <c r="E96" s="151"/>
      <c r="F96" s="150">
        <f t="shared" si="1"/>
        <v>0</v>
      </c>
      <c r="G96" s="151"/>
    </row>
    <row r="97" spans="1:7" ht="15.75" x14ac:dyDescent="0.25">
      <c r="A97" s="149"/>
      <c r="B97" s="87"/>
      <c r="C97" s="86"/>
      <c r="D97" s="151"/>
      <c r="E97" s="151"/>
      <c r="F97" s="150">
        <f t="shared" si="1"/>
        <v>0</v>
      </c>
      <c r="G97" s="151"/>
    </row>
    <row r="98" spans="1:7" ht="15.75" x14ac:dyDescent="0.25">
      <c r="A98" s="149"/>
      <c r="B98" s="87"/>
      <c r="C98" s="86"/>
      <c r="D98" s="151"/>
      <c r="E98" s="151"/>
      <c r="F98" s="150">
        <f t="shared" si="1"/>
        <v>0</v>
      </c>
      <c r="G98" s="151"/>
    </row>
    <row r="99" spans="1:7" ht="15.75" x14ac:dyDescent="0.25">
      <c r="A99" s="149"/>
      <c r="B99" s="87"/>
      <c r="C99" s="86"/>
      <c r="D99" s="151"/>
      <c r="E99" s="151"/>
      <c r="F99" s="150">
        <f t="shared" si="1"/>
        <v>0</v>
      </c>
      <c r="G99" s="151"/>
    </row>
    <row r="100" spans="1:7" ht="15.75" x14ac:dyDescent="0.25">
      <c r="A100" s="149"/>
      <c r="B100" s="87"/>
      <c r="C100" s="86"/>
      <c r="D100" s="151"/>
      <c r="E100" s="151"/>
      <c r="F100" s="150">
        <f t="shared" si="1"/>
        <v>0</v>
      </c>
      <c r="G100" s="151"/>
    </row>
    <row r="101" spans="1:7" ht="15.75" x14ac:dyDescent="0.25">
      <c r="A101" s="149"/>
      <c r="B101" s="87"/>
      <c r="C101" s="86"/>
      <c r="D101" s="151"/>
      <c r="E101" s="151"/>
      <c r="F101" s="150">
        <f t="shared" si="1"/>
        <v>0</v>
      </c>
      <c r="G101" s="151"/>
    </row>
    <row r="102" spans="1:7" ht="15.75" x14ac:dyDescent="0.25">
      <c r="A102" s="149"/>
      <c r="B102" s="87"/>
      <c r="C102" s="86"/>
      <c r="D102" s="151"/>
      <c r="E102" s="151"/>
      <c r="F102" s="150">
        <f t="shared" si="1"/>
        <v>0</v>
      </c>
      <c r="G102" s="151"/>
    </row>
    <row r="103" spans="1:7" ht="15.75" x14ac:dyDescent="0.25">
      <c r="A103" s="149"/>
      <c r="B103" s="87"/>
      <c r="C103" s="86"/>
      <c r="D103" s="151"/>
      <c r="E103" s="151"/>
      <c r="F103" s="150">
        <f t="shared" si="1"/>
        <v>0</v>
      </c>
      <c r="G103" s="151"/>
    </row>
    <row r="104" spans="1:7" ht="15.75" x14ac:dyDescent="0.25">
      <c r="A104" s="149"/>
      <c r="B104" s="87"/>
      <c r="C104" s="86"/>
      <c r="D104" s="151"/>
      <c r="E104" s="151"/>
      <c r="F104" s="150">
        <f t="shared" si="1"/>
        <v>0</v>
      </c>
      <c r="G104" s="151"/>
    </row>
    <row r="105" spans="1:7" ht="15.75" x14ac:dyDescent="0.25">
      <c r="A105" s="149"/>
      <c r="B105" s="87"/>
      <c r="C105" s="86"/>
      <c r="D105" s="151"/>
      <c r="E105" s="151"/>
      <c r="F105" s="150">
        <f t="shared" si="1"/>
        <v>0</v>
      </c>
      <c r="G105" s="151"/>
    </row>
    <row r="106" spans="1:7" ht="15.75" x14ac:dyDescent="0.25">
      <c r="A106" s="149"/>
      <c r="B106" s="87"/>
      <c r="C106" s="86"/>
      <c r="D106" s="151"/>
      <c r="E106" s="151"/>
      <c r="F106" s="150">
        <f t="shared" si="1"/>
        <v>0</v>
      </c>
      <c r="G106" s="151"/>
    </row>
    <row r="107" spans="1:7" ht="15.75" x14ac:dyDescent="0.25">
      <c r="A107" s="149"/>
      <c r="B107" s="87"/>
      <c r="C107" s="86"/>
      <c r="D107" s="151"/>
      <c r="E107" s="151"/>
      <c r="F107" s="150">
        <f t="shared" si="1"/>
        <v>0</v>
      </c>
      <c r="G107" s="151"/>
    </row>
    <row r="108" spans="1:7" ht="15.75" x14ac:dyDescent="0.25">
      <c r="A108" s="149"/>
      <c r="B108" s="87"/>
      <c r="C108" s="86"/>
      <c r="D108" s="151"/>
      <c r="E108" s="151"/>
      <c r="F108" s="150">
        <f t="shared" si="1"/>
        <v>0</v>
      </c>
      <c r="G108" s="151"/>
    </row>
    <row r="109" spans="1:7" ht="15.75" x14ac:dyDescent="0.25">
      <c r="A109" s="149"/>
      <c r="B109" s="87"/>
      <c r="C109" s="86"/>
      <c r="D109" s="151"/>
      <c r="E109" s="151"/>
      <c r="F109" s="150">
        <f t="shared" si="1"/>
        <v>0</v>
      </c>
      <c r="G109" s="151"/>
    </row>
    <row r="110" spans="1:7" ht="15.75" x14ac:dyDescent="0.25">
      <c r="A110" s="149"/>
      <c r="B110" s="87"/>
      <c r="C110" s="86"/>
      <c r="D110" s="151"/>
      <c r="E110" s="151"/>
      <c r="F110" s="150">
        <f t="shared" si="1"/>
        <v>0</v>
      </c>
      <c r="G110" s="151"/>
    </row>
    <row r="111" spans="1:7" ht="15.75" x14ac:dyDescent="0.25">
      <c r="A111" s="149"/>
      <c r="B111" s="87"/>
      <c r="C111" s="86"/>
      <c r="D111" s="151"/>
      <c r="E111" s="151"/>
      <c r="F111" s="150">
        <f t="shared" si="1"/>
        <v>0</v>
      </c>
      <c r="G111" s="151"/>
    </row>
    <row r="112" spans="1:7" ht="15.75" x14ac:dyDescent="0.25">
      <c r="A112" s="149"/>
      <c r="B112" s="87"/>
      <c r="C112" s="86"/>
      <c r="D112" s="151"/>
      <c r="E112" s="151"/>
      <c r="F112" s="150">
        <f t="shared" si="1"/>
        <v>0</v>
      </c>
      <c r="G112" s="151"/>
    </row>
    <row r="113" spans="1:7" ht="15.75" x14ac:dyDescent="0.25">
      <c r="A113" s="149"/>
      <c r="B113" s="87"/>
      <c r="C113" s="86"/>
      <c r="D113" s="151"/>
      <c r="E113" s="151"/>
      <c r="F113" s="150">
        <f t="shared" si="1"/>
        <v>0</v>
      </c>
      <c r="G113" s="151"/>
    </row>
    <row r="114" spans="1:7" ht="15.75" x14ac:dyDescent="0.25">
      <c r="A114" s="149"/>
      <c r="B114" s="87"/>
      <c r="C114" s="86"/>
      <c r="D114" s="151"/>
      <c r="E114" s="151"/>
      <c r="F114" s="150">
        <f t="shared" si="1"/>
        <v>0</v>
      </c>
      <c r="G114" s="151"/>
    </row>
    <row r="115" spans="1:7" ht="15.75" x14ac:dyDescent="0.25">
      <c r="A115" s="149"/>
      <c r="B115" s="87"/>
      <c r="C115" s="86"/>
      <c r="D115" s="151"/>
      <c r="E115" s="151"/>
      <c r="F115" s="150">
        <f t="shared" si="1"/>
        <v>0</v>
      </c>
      <c r="G115" s="151"/>
    </row>
    <row r="116" spans="1:7" ht="15.75" x14ac:dyDescent="0.25">
      <c r="A116" s="149"/>
      <c r="B116" s="87"/>
      <c r="C116" s="86"/>
      <c r="D116" s="151"/>
      <c r="E116" s="151"/>
      <c r="F116" s="150">
        <f t="shared" si="1"/>
        <v>0</v>
      </c>
      <c r="G116" s="151"/>
    </row>
    <row r="117" spans="1:7" ht="15.75" x14ac:dyDescent="0.25">
      <c r="A117" s="149"/>
      <c r="B117" s="87"/>
      <c r="C117" s="86"/>
      <c r="D117" s="151"/>
      <c r="E117" s="151"/>
      <c r="F117" s="150">
        <f t="shared" si="1"/>
        <v>0</v>
      </c>
      <c r="G117" s="151"/>
    </row>
    <row r="118" spans="1:7" ht="15.75" x14ac:dyDescent="0.25">
      <c r="A118" s="149"/>
      <c r="B118" s="87"/>
      <c r="C118" s="86"/>
      <c r="D118" s="151"/>
      <c r="E118" s="151"/>
      <c r="F118" s="150">
        <f t="shared" si="1"/>
        <v>0</v>
      </c>
      <c r="G118" s="151"/>
    </row>
    <row r="119" spans="1:7" ht="15.75" x14ac:dyDescent="0.25">
      <c r="A119" s="149"/>
      <c r="B119" s="87"/>
      <c r="C119" s="86"/>
      <c r="D119" s="151"/>
      <c r="E119" s="151"/>
      <c r="F119" s="150">
        <f t="shared" si="1"/>
        <v>0</v>
      </c>
      <c r="G119" s="151"/>
    </row>
    <row r="120" spans="1:7" ht="15.75" x14ac:dyDescent="0.25">
      <c r="A120" s="149"/>
      <c r="B120" s="87"/>
      <c r="C120" s="86"/>
      <c r="D120" s="151"/>
      <c r="E120" s="151"/>
      <c r="F120" s="150">
        <f t="shared" si="1"/>
        <v>0</v>
      </c>
      <c r="G120" s="151"/>
    </row>
    <row r="121" spans="1:7" ht="15.75" x14ac:dyDescent="0.25">
      <c r="A121" s="149"/>
      <c r="B121" s="87"/>
      <c r="C121" s="86"/>
      <c r="D121" s="151"/>
      <c r="E121" s="151"/>
      <c r="F121" s="150">
        <f t="shared" si="1"/>
        <v>0</v>
      </c>
      <c r="G121" s="151"/>
    </row>
    <row r="122" spans="1:7" ht="15.75" x14ac:dyDescent="0.25">
      <c r="A122" s="149"/>
      <c r="B122" s="87"/>
      <c r="C122" s="86"/>
      <c r="D122" s="151"/>
      <c r="E122" s="151"/>
      <c r="F122" s="150">
        <f t="shared" si="1"/>
        <v>0</v>
      </c>
      <c r="G122" s="151"/>
    </row>
    <row r="123" spans="1:7" ht="15.75" x14ac:dyDescent="0.25">
      <c r="A123" s="149"/>
      <c r="B123" s="87"/>
      <c r="C123" s="86"/>
      <c r="D123" s="151"/>
      <c r="E123" s="151"/>
      <c r="F123" s="150">
        <f t="shared" si="1"/>
        <v>0</v>
      </c>
      <c r="G123" s="151"/>
    </row>
    <row r="124" spans="1:7" ht="15.75" x14ac:dyDescent="0.25">
      <c r="A124" s="149"/>
      <c r="B124" s="87"/>
      <c r="C124" s="86"/>
      <c r="D124" s="151"/>
      <c r="E124" s="151"/>
      <c r="F124" s="150">
        <f t="shared" si="1"/>
        <v>0</v>
      </c>
      <c r="G124" s="151"/>
    </row>
    <row r="125" spans="1:7" ht="15.75" x14ac:dyDescent="0.25">
      <c r="A125" s="149"/>
      <c r="B125" s="87"/>
      <c r="C125" s="86"/>
      <c r="D125" s="151"/>
      <c r="E125" s="151"/>
      <c r="F125" s="150">
        <f t="shared" si="1"/>
        <v>0</v>
      </c>
      <c r="G125" s="151"/>
    </row>
    <row r="126" spans="1:7" ht="15.75" x14ac:dyDescent="0.25">
      <c r="A126" s="149"/>
      <c r="B126" s="87"/>
      <c r="C126" s="86"/>
      <c r="D126" s="151"/>
      <c r="E126" s="151"/>
      <c r="F126" s="150">
        <f t="shared" si="1"/>
        <v>0</v>
      </c>
      <c r="G126" s="151"/>
    </row>
    <row r="127" spans="1:7" ht="15.75" x14ac:dyDescent="0.25">
      <c r="A127" s="149"/>
      <c r="B127" s="87"/>
      <c r="C127" s="86"/>
      <c r="D127" s="151"/>
      <c r="E127" s="151"/>
      <c r="F127" s="150">
        <f t="shared" si="1"/>
        <v>0</v>
      </c>
      <c r="G127" s="151"/>
    </row>
    <row r="128" spans="1:7" ht="15.75" x14ac:dyDescent="0.25">
      <c r="A128" s="149"/>
      <c r="B128" s="87"/>
      <c r="C128" s="86"/>
      <c r="D128" s="151"/>
      <c r="E128" s="151"/>
      <c r="F128" s="150">
        <f t="shared" si="1"/>
        <v>0</v>
      </c>
      <c r="G128" s="151"/>
    </row>
    <row r="129" spans="1:7" ht="15.75" x14ac:dyDescent="0.25">
      <c r="A129" s="149"/>
      <c r="B129" s="87"/>
      <c r="C129" s="86"/>
      <c r="D129" s="151"/>
      <c r="E129" s="151"/>
      <c r="F129" s="150">
        <f t="shared" si="1"/>
        <v>0</v>
      </c>
      <c r="G129" s="151"/>
    </row>
    <row r="130" spans="1:7" ht="15.75" x14ac:dyDescent="0.25">
      <c r="A130" s="149"/>
      <c r="B130" s="87"/>
      <c r="C130" s="86"/>
      <c r="D130" s="151"/>
      <c r="E130" s="151"/>
      <c r="F130" s="150">
        <f t="shared" si="1"/>
        <v>0</v>
      </c>
      <c r="G130" s="151"/>
    </row>
    <row r="131" spans="1:7" ht="15.75" x14ac:dyDescent="0.25">
      <c r="A131" s="149"/>
      <c r="B131" s="87"/>
      <c r="C131" s="86"/>
      <c r="D131" s="151"/>
      <c r="E131" s="151"/>
      <c r="F131" s="150">
        <f t="shared" si="1"/>
        <v>0</v>
      </c>
      <c r="G131" s="151"/>
    </row>
    <row r="132" spans="1:7" ht="15.75" x14ac:dyDescent="0.25">
      <c r="A132" s="149"/>
      <c r="B132" s="87"/>
      <c r="C132" s="86"/>
      <c r="D132" s="151"/>
      <c r="E132" s="151"/>
      <c r="F132" s="150">
        <f t="shared" si="1"/>
        <v>0</v>
      </c>
      <c r="G132" s="151"/>
    </row>
    <row r="133" spans="1:7" ht="15.75" x14ac:dyDescent="0.25">
      <c r="A133" s="149"/>
      <c r="B133" s="87"/>
      <c r="C133" s="86"/>
      <c r="D133" s="151"/>
      <c r="E133" s="151"/>
      <c r="F133" s="150">
        <f t="shared" si="1"/>
        <v>0</v>
      </c>
      <c r="G133" s="151"/>
    </row>
    <row r="134" spans="1:7" ht="15.75" x14ac:dyDescent="0.25">
      <c r="A134" s="149"/>
      <c r="B134" s="87"/>
      <c r="C134" s="86"/>
      <c r="D134" s="151"/>
      <c r="E134" s="151"/>
      <c r="F134" s="150">
        <f t="shared" si="1"/>
        <v>0</v>
      </c>
      <c r="G134" s="151"/>
    </row>
    <row r="135" spans="1:7" ht="15.75" x14ac:dyDescent="0.25">
      <c r="A135" s="149"/>
      <c r="B135" s="87"/>
      <c r="C135" s="86"/>
      <c r="D135" s="151"/>
      <c r="E135" s="151"/>
      <c r="F135" s="150">
        <f t="shared" si="1"/>
        <v>0</v>
      </c>
      <c r="G135" s="151"/>
    </row>
    <row r="136" spans="1:7" ht="15.75" x14ac:dyDescent="0.25">
      <c r="A136" s="149"/>
      <c r="B136" s="87"/>
      <c r="C136" s="86"/>
      <c r="D136" s="151"/>
      <c r="E136" s="151"/>
      <c r="F136" s="150">
        <f t="shared" si="1"/>
        <v>0</v>
      </c>
      <c r="G136" s="151"/>
    </row>
    <row r="137" spans="1:7" ht="15.75" x14ac:dyDescent="0.25">
      <c r="A137" s="149"/>
      <c r="B137" s="87"/>
      <c r="C137" s="86"/>
      <c r="D137" s="151"/>
      <c r="E137" s="151"/>
      <c r="F137" s="150">
        <f t="shared" si="1"/>
        <v>0</v>
      </c>
      <c r="G137" s="151"/>
    </row>
    <row r="138" spans="1:7" ht="15.75" x14ac:dyDescent="0.25">
      <c r="A138" s="149"/>
      <c r="B138" s="87"/>
      <c r="C138" s="86"/>
      <c r="D138" s="151"/>
      <c r="E138" s="151"/>
      <c r="F138" s="150">
        <f t="shared" si="1"/>
        <v>0</v>
      </c>
      <c r="G138" s="151"/>
    </row>
    <row r="139" spans="1:7" ht="15.75" x14ac:dyDescent="0.25">
      <c r="A139" s="149"/>
      <c r="B139" s="87"/>
      <c r="C139" s="86"/>
      <c r="D139" s="151"/>
      <c r="E139" s="151"/>
      <c r="F139" s="150">
        <f t="shared" si="1"/>
        <v>0</v>
      </c>
      <c r="G139" s="151"/>
    </row>
    <row r="140" spans="1:7" ht="15.75" x14ac:dyDescent="0.25">
      <c r="A140" s="149"/>
      <c r="B140" s="87"/>
      <c r="C140" s="86"/>
      <c r="D140" s="151"/>
      <c r="E140" s="151"/>
      <c r="F140" s="150">
        <f t="shared" si="1"/>
        <v>0</v>
      </c>
      <c r="G140" s="151"/>
    </row>
    <row r="141" spans="1:7" ht="15.75" x14ac:dyDescent="0.25">
      <c r="A141" s="149"/>
      <c r="B141" s="87"/>
      <c r="C141" s="86"/>
      <c r="D141" s="151"/>
      <c r="E141" s="151"/>
      <c r="F141" s="150">
        <f t="shared" ref="F141:F204" si="2">+F140+D141-E141</f>
        <v>0</v>
      </c>
      <c r="G141" s="151"/>
    </row>
    <row r="142" spans="1:7" ht="15.75" x14ac:dyDescent="0.25">
      <c r="A142" s="149"/>
      <c r="B142" s="87"/>
      <c r="C142" s="86"/>
      <c r="D142" s="151"/>
      <c r="E142" s="151"/>
      <c r="F142" s="150">
        <f t="shared" si="2"/>
        <v>0</v>
      </c>
      <c r="G142" s="151"/>
    </row>
    <row r="143" spans="1:7" ht="15.75" x14ac:dyDescent="0.25">
      <c r="A143" s="149"/>
      <c r="B143" s="87"/>
      <c r="C143" s="86"/>
      <c r="D143" s="151"/>
      <c r="E143" s="151"/>
      <c r="F143" s="150">
        <f t="shared" si="2"/>
        <v>0</v>
      </c>
      <c r="G143" s="151"/>
    </row>
    <row r="144" spans="1:7" ht="15.75" x14ac:dyDescent="0.25">
      <c r="A144" s="149"/>
      <c r="B144" s="87"/>
      <c r="C144" s="86"/>
      <c r="D144" s="151"/>
      <c r="E144" s="151"/>
      <c r="F144" s="150">
        <f t="shared" si="2"/>
        <v>0</v>
      </c>
      <c r="G144" s="151"/>
    </row>
    <row r="145" spans="1:7" ht="15.75" x14ac:dyDescent="0.25">
      <c r="A145" s="149"/>
      <c r="B145" s="87"/>
      <c r="C145" s="86"/>
      <c r="D145" s="151"/>
      <c r="E145" s="151"/>
      <c r="F145" s="150">
        <f t="shared" si="2"/>
        <v>0</v>
      </c>
      <c r="G145" s="151"/>
    </row>
    <row r="146" spans="1:7" ht="15.75" x14ac:dyDescent="0.25">
      <c r="A146" s="149"/>
      <c r="B146" s="87"/>
      <c r="C146" s="81"/>
      <c r="D146" s="151"/>
      <c r="E146" s="151"/>
      <c r="F146" s="150">
        <f t="shared" si="2"/>
        <v>0</v>
      </c>
      <c r="G146" s="151"/>
    </row>
    <row r="147" spans="1:7" ht="15.75" x14ac:dyDescent="0.25">
      <c r="A147" s="149"/>
      <c r="B147" s="87"/>
      <c r="C147" s="86"/>
      <c r="D147" s="151"/>
      <c r="E147" s="151"/>
      <c r="F147" s="150">
        <f t="shared" si="2"/>
        <v>0</v>
      </c>
      <c r="G147" s="151"/>
    </row>
    <row r="148" spans="1:7" ht="15.75" x14ac:dyDescent="0.25">
      <c r="A148" s="149"/>
      <c r="B148" s="87"/>
      <c r="C148" s="86"/>
      <c r="D148" s="151"/>
      <c r="E148" s="151"/>
      <c r="F148" s="150">
        <f t="shared" si="2"/>
        <v>0</v>
      </c>
      <c r="G148" s="151"/>
    </row>
    <row r="149" spans="1:7" ht="15.75" x14ac:dyDescent="0.25">
      <c r="A149" s="149"/>
      <c r="B149" s="87"/>
      <c r="C149" s="86"/>
      <c r="D149" s="151"/>
      <c r="E149" s="151"/>
      <c r="F149" s="150">
        <f t="shared" si="2"/>
        <v>0</v>
      </c>
      <c r="G149" s="151"/>
    </row>
    <row r="150" spans="1:7" ht="15.75" x14ac:dyDescent="0.25">
      <c r="A150" s="149"/>
      <c r="B150" s="87"/>
      <c r="C150" s="86"/>
      <c r="D150" s="151"/>
      <c r="E150" s="151"/>
      <c r="F150" s="150">
        <f t="shared" si="2"/>
        <v>0</v>
      </c>
      <c r="G150" s="151"/>
    </row>
    <row r="151" spans="1:7" ht="15.75" x14ac:dyDescent="0.25">
      <c r="A151" s="149"/>
      <c r="B151" s="87"/>
      <c r="C151" s="86"/>
      <c r="D151" s="151"/>
      <c r="E151" s="151"/>
      <c r="F151" s="150">
        <f t="shared" si="2"/>
        <v>0</v>
      </c>
      <c r="G151" s="151"/>
    </row>
    <row r="152" spans="1:7" ht="15.75" x14ac:dyDescent="0.25">
      <c r="A152" s="149"/>
      <c r="B152" s="87"/>
      <c r="C152" s="86"/>
      <c r="D152" s="151"/>
      <c r="E152" s="151"/>
      <c r="F152" s="150">
        <f t="shared" si="2"/>
        <v>0</v>
      </c>
      <c r="G152" s="151"/>
    </row>
    <row r="153" spans="1:7" ht="15.75" x14ac:dyDescent="0.25">
      <c r="A153" s="149"/>
      <c r="B153" s="87"/>
      <c r="C153" s="86"/>
      <c r="D153" s="151"/>
      <c r="E153" s="151"/>
      <c r="F153" s="150">
        <f t="shared" si="2"/>
        <v>0</v>
      </c>
      <c r="G153" s="151"/>
    </row>
    <row r="154" spans="1:7" ht="15.75" x14ac:dyDescent="0.25">
      <c r="A154" s="149"/>
      <c r="B154" s="87"/>
      <c r="C154" s="86"/>
      <c r="D154" s="151"/>
      <c r="E154" s="151"/>
      <c r="F154" s="150">
        <f t="shared" si="2"/>
        <v>0</v>
      </c>
      <c r="G154" s="151"/>
    </row>
    <row r="155" spans="1:7" ht="15.75" x14ac:dyDescent="0.25">
      <c r="A155" s="149"/>
      <c r="B155" s="87"/>
      <c r="C155" s="86"/>
      <c r="D155" s="151"/>
      <c r="E155" s="151"/>
      <c r="F155" s="150">
        <f t="shared" si="2"/>
        <v>0</v>
      </c>
      <c r="G155" s="151"/>
    </row>
    <row r="156" spans="1:7" ht="15.75" x14ac:dyDescent="0.25">
      <c r="A156" s="149"/>
      <c r="B156" s="87"/>
      <c r="C156" s="86"/>
      <c r="D156" s="151"/>
      <c r="E156" s="151"/>
      <c r="F156" s="150">
        <f t="shared" si="2"/>
        <v>0</v>
      </c>
      <c r="G156" s="151"/>
    </row>
    <row r="157" spans="1:7" ht="15.75" x14ac:dyDescent="0.25">
      <c r="A157" s="149"/>
      <c r="B157" s="87"/>
      <c r="C157" s="86"/>
      <c r="D157" s="151"/>
      <c r="E157" s="151"/>
      <c r="F157" s="150">
        <f t="shared" si="2"/>
        <v>0</v>
      </c>
      <c r="G157" s="151"/>
    </row>
    <row r="158" spans="1:7" ht="15.75" x14ac:dyDescent="0.25">
      <c r="A158" s="149"/>
      <c r="B158" s="87"/>
      <c r="C158" s="86"/>
      <c r="D158" s="151"/>
      <c r="E158" s="151"/>
      <c r="F158" s="150">
        <f t="shared" si="2"/>
        <v>0</v>
      </c>
      <c r="G158" s="151"/>
    </row>
    <row r="159" spans="1:7" ht="15.75" x14ac:dyDescent="0.25">
      <c r="A159" s="149"/>
      <c r="B159" s="87"/>
      <c r="C159" s="86"/>
      <c r="D159" s="151"/>
      <c r="E159" s="151"/>
      <c r="F159" s="150">
        <f t="shared" si="2"/>
        <v>0</v>
      </c>
      <c r="G159" s="151"/>
    </row>
    <row r="160" spans="1:7" ht="15.75" x14ac:dyDescent="0.25">
      <c r="A160" s="149"/>
      <c r="B160" s="87"/>
      <c r="C160" s="86"/>
      <c r="D160" s="151"/>
      <c r="E160" s="151"/>
      <c r="F160" s="150">
        <f t="shared" si="2"/>
        <v>0</v>
      </c>
      <c r="G160" s="151"/>
    </row>
    <row r="161" spans="1:7" ht="15.75" x14ac:dyDescent="0.25">
      <c r="A161" s="149"/>
      <c r="B161" s="87"/>
      <c r="C161" s="86"/>
      <c r="D161" s="151"/>
      <c r="E161" s="151"/>
      <c r="F161" s="150">
        <f t="shared" si="2"/>
        <v>0</v>
      </c>
      <c r="G161" s="151"/>
    </row>
    <row r="162" spans="1:7" ht="15.75" x14ac:dyDescent="0.25">
      <c r="A162" s="149"/>
      <c r="B162" s="87"/>
      <c r="C162" s="86"/>
      <c r="D162" s="151"/>
      <c r="E162" s="151"/>
      <c r="F162" s="150">
        <f t="shared" si="2"/>
        <v>0</v>
      </c>
      <c r="G162" s="151"/>
    </row>
    <row r="163" spans="1:7" ht="15.75" x14ac:dyDescent="0.25">
      <c r="A163" s="149"/>
      <c r="B163" s="87"/>
      <c r="C163" s="86"/>
      <c r="D163" s="151"/>
      <c r="E163" s="151"/>
      <c r="F163" s="150">
        <f t="shared" si="2"/>
        <v>0</v>
      </c>
      <c r="G163" s="151"/>
    </row>
    <row r="164" spans="1:7" ht="15.75" x14ac:dyDescent="0.25">
      <c r="A164" s="149"/>
      <c r="B164" s="87"/>
      <c r="C164" s="86"/>
      <c r="D164" s="151"/>
      <c r="E164" s="151"/>
      <c r="F164" s="150">
        <f t="shared" si="2"/>
        <v>0</v>
      </c>
      <c r="G164" s="151"/>
    </row>
    <row r="165" spans="1:7" ht="15.75" x14ac:dyDescent="0.25">
      <c r="A165" s="149"/>
      <c r="B165" s="87"/>
      <c r="C165" s="86"/>
      <c r="D165" s="151"/>
      <c r="E165" s="151"/>
      <c r="F165" s="150">
        <f t="shared" si="2"/>
        <v>0</v>
      </c>
      <c r="G165" s="151"/>
    </row>
    <row r="166" spans="1:7" ht="15.75" x14ac:dyDescent="0.25">
      <c r="A166" s="149"/>
      <c r="B166" s="87"/>
      <c r="C166" s="86"/>
      <c r="D166" s="151"/>
      <c r="E166" s="151"/>
      <c r="F166" s="150">
        <f t="shared" si="2"/>
        <v>0</v>
      </c>
      <c r="G166" s="151"/>
    </row>
    <row r="167" spans="1:7" ht="15.75" x14ac:dyDescent="0.25">
      <c r="A167" s="149"/>
      <c r="B167" s="87"/>
      <c r="C167" s="86"/>
      <c r="D167" s="151"/>
      <c r="E167" s="151"/>
      <c r="F167" s="150">
        <f t="shared" si="2"/>
        <v>0</v>
      </c>
      <c r="G167" s="151"/>
    </row>
    <row r="168" spans="1:7" ht="15.75" x14ac:dyDescent="0.25">
      <c r="A168" s="149"/>
      <c r="B168" s="87"/>
      <c r="C168" s="86"/>
      <c r="D168" s="151"/>
      <c r="E168" s="151"/>
      <c r="F168" s="150">
        <f t="shared" si="2"/>
        <v>0</v>
      </c>
      <c r="G168" s="151"/>
    </row>
    <row r="169" spans="1:7" ht="15.75" x14ac:dyDescent="0.25">
      <c r="A169" s="149"/>
      <c r="B169" s="87"/>
      <c r="C169" s="86"/>
      <c r="D169" s="151"/>
      <c r="E169" s="151"/>
      <c r="F169" s="150">
        <f t="shared" si="2"/>
        <v>0</v>
      </c>
      <c r="G169" s="151"/>
    </row>
    <row r="170" spans="1:7" ht="15.75" x14ac:dyDescent="0.25">
      <c r="A170" s="149"/>
      <c r="B170" s="87"/>
      <c r="C170" s="86"/>
      <c r="D170" s="151"/>
      <c r="E170" s="151"/>
      <c r="F170" s="150">
        <f t="shared" si="2"/>
        <v>0</v>
      </c>
      <c r="G170" s="151"/>
    </row>
    <row r="171" spans="1:7" ht="15.75" x14ac:dyDescent="0.25">
      <c r="A171" s="149"/>
      <c r="B171" s="87"/>
      <c r="C171" s="86"/>
      <c r="D171" s="151"/>
      <c r="E171" s="151"/>
      <c r="F171" s="150">
        <f t="shared" si="2"/>
        <v>0</v>
      </c>
      <c r="G171" s="151"/>
    </row>
    <row r="172" spans="1:7" ht="15.75" x14ac:dyDescent="0.25">
      <c r="A172" s="149"/>
      <c r="B172" s="87"/>
      <c r="C172" s="86"/>
      <c r="D172" s="151"/>
      <c r="E172" s="151"/>
      <c r="F172" s="150">
        <f t="shared" si="2"/>
        <v>0</v>
      </c>
      <c r="G172" s="151"/>
    </row>
    <row r="173" spans="1:7" ht="15.75" x14ac:dyDescent="0.25">
      <c r="A173" s="149"/>
      <c r="B173" s="87"/>
      <c r="C173" s="86"/>
      <c r="D173" s="151"/>
      <c r="E173" s="151"/>
      <c r="F173" s="150">
        <f t="shared" si="2"/>
        <v>0</v>
      </c>
      <c r="G173" s="151"/>
    </row>
    <row r="174" spans="1:7" ht="15.75" x14ac:dyDescent="0.25">
      <c r="A174" s="149"/>
      <c r="B174" s="87"/>
      <c r="C174" s="86"/>
      <c r="D174" s="151"/>
      <c r="E174" s="151"/>
      <c r="F174" s="150">
        <f t="shared" si="2"/>
        <v>0</v>
      </c>
      <c r="G174" s="151"/>
    </row>
    <row r="175" spans="1:7" ht="15.75" x14ac:dyDescent="0.25">
      <c r="A175" s="149"/>
      <c r="B175" s="87"/>
      <c r="C175" s="86"/>
      <c r="D175" s="151"/>
      <c r="E175" s="151"/>
      <c r="F175" s="150">
        <f t="shared" si="2"/>
        <v>0</v>
      </c>
      <c r="G175" s="151"/>
    </row>
    <row r="176" spans="1:7" ht="15.75" x14ac:dyDescent="0.25">
      <c r="A176" s="149"/>
      <c r="B176" s="87"/>
      <c r="C176" s="86"/>
      <c r="D176" s="151"/>
      <c r="E176" s="151"/>
      <c r="F176" s="150">
        <f t="shared" si="2"/>
        <v>0</v>
      </c>
      <c r="G176" s="151"/>
    </row>
    <row r="177" spans="1:7" ht="15.75" x14ac:dyDescent="0.25">
      <c r="A177" s="149"/>
      <c r="B177" s="87"/>
      <c r="C177" s="86"/>
      <c r="D177" s="151"/>
      <c r="E177" s="151"/>
      <c r="F177" s="150">
        <f t="shared" si="2"/>
        <v>0</v>
      </c>
      <c r="G177" s="151"/>
    </row>
    <row r="178" spans="1:7" ht="15.75" x14ac:dyDescent="0.25">
      <c r="A178" s="149"/>
      <c r="B178" s="87"/>
      <c r="C178" s="86"/>
      <c r="D178" s="151"/>
      <c r="E178" s="151"/>
      <c r="F178" s="150">
        <f t="shared" si="2"/>
        <v>0</v>
      </c>
      <c r="G178" s="151"/>
    </row>
    <row r="179" spans="1:7" ht="15.75" x14ac:dyDescent="0.25">
      <c r="A179" s="149"/>
      <c r="B179" s="87"/>
      <c r="C179" s="86"/>
      <c r="D179" s="151"/>
      <c r="E179" s="151"/>
      <c r="F179" s="150">
        <f t="shared" si="2"/>
        <v>0</v>
      </c>
      <c r="G179" s="151"/>
    </row>
    <row r="180" spans="1:7" ht="15.75" x14ac:dyDescent="0.25">
      <c r="A180" s="149"/>
      <c r="B180" s="87"/>
      <c r="C180" s="86"/>
      <c r="D180" s="151"/>
      <c r="E180" s="151"/>
      <c r="F180" s="150">
        <f t="shared" si="2"/>
        <v>0</v>
      </c>
      <c r="G180" s="151"/>
    </row>
    <row r="181" spans="1:7" ht="15.75" x14ac:dyDescent="0.25">
      <c r="A181" s="149"/>
      <c r="B181" s="87"/>
      <c r="C181" s="86"/>
      <c r="D181" s="151"/>
      <c r="E181" s="151"/>
      <c r="F181" s="150">
        <f t="shared" si="2"/>
        <v>0</v>
      </c>
      <c r="G181" s="151"/>
    </row>
    <row r="182" spans="1:7" ht="15.75" x14ac:dyDescent="0.25">
      <c r="A182" s="149"/>
      <c r="B182" s="87"/>
      <c r="C182" s="86"/>
      <c r="D182" s="151"/>
      <c r="E182" s="151"/>
      <c r="F182" s="150">
        <f t="shared" si="2"/>
        <v>0</v>
      </c>
      <c r="G182" s="151"/>
    </row>
    <row r="183" spans="1:7" ht="15.75" x14ac:dyDescent="0.25">
      <c r="A183" s="149"/>
      <c r="B183" s="87"/>
      <c r="C183" s="86"/>
      <c r="D183" s="151"/>
      <c r="E183" s="151"/>
      <c r="F183" s="150">
        <f t="shared" si="2"/>
        <v>0</v>
      </c>
      <c r="G183" s="151"/>
    </row>
    <row r="184" spans="1:7" ht="15.75" x14ac:dyDescent="0.25">
      <c r="A184" s="149"/>
      <c r="B184" s="87"/>
      <c r="C184" s="86"/>
      <c r="D184" s="151"/>
      <c r="E184" s="151"/>
      <c r="F184" s="150">
        <f t="shared" si="2"/>
        <v>0</v>
      </c>
      <c r="G184" s="151"/>
    </row>
    <row r="185" spans="1:7" ht="15.75" x14ac:dyDescent="0.25">
      <c r="A185" s="149"/>
      <c r="B185" s="87"/>
      <c r="C185" s="86"/>
      <c r="D185" s="151"/>
      <c r="E185" s="151"/>
      <c r="F185" s="150">
        <f t="shared" si="2"/>
        <v>0</v>
      </c>
      <c r="G185" s="151"/>
    </row>
    <row r="186" spans="1:7" ht="15.75" x14ac:dyDescent="0.25">
      <c r="A186" s="149"/>
      <c r="B186" s="87"/>
      <c r="C186" s="86"/>
      <c r="D186" s="151"/>
      <c r="E186" s="151"/>
      <c r="F186" s="150">
        <f t="shared" si="2"/>
        <v>0</v>
      </c>
      <c r="G186" s="151"/>
    </row>
    <row r="187" spans="1:7" ht="15.75" x14ac:dyDescent="0.25">
      <c r="A187" s="149"/>
      <c r="B187" s="87"/>
      <c r="C187" s="86"/>
      <c r="D187" s="151"/>
      <c r="E187" s="151"/>
      <c r="F187" s="150">
        <f t="shared" si="2"/>
        <v>0</v>
      </c>
      <c r="G187" s="151"/>
    </row>
    <row r="188" spans="1:7" ht="15.75" x14ac:dyDescent="0.25">
      <c r="A188" s="149"/>
      <c r="B188" s="87"/>
      <c r="C188" s="86"/>
      <c r="D188" s="151"/>
      <c r="E188" s="151"/>
      <c r="F188" s="150">
        <f t="shared" si="2"/>
        <v>0</v>
      </c>
      <c r="G188" s="151"/>
    </row>
    <row r="189" spans="1:7" ht="15.75" x14ac:dyDescent="0.25">
      <c r="A189" s="149"/>
      <c r="B189" s="87"/>
      <c r="C189" s="86"/>
      <c r="D189" s="151"/>
      <c r="E189" s="151"/>
      <c r="F189" s="150">
        <f t="shared" si="2"/>
        <v>0</v>
      </c>
      <c r="G189" s="151"/>
    </row>
    <row r="190" spans="1:7" ht="15.75" x14ac:dyDescent="0.25">
      <c r="A190" s="149"/>
      <c r="B190" s="87"/>
      <c r="C190" s="86"/>
      <c r="D190" s="151"/>
      <c r="E190" s="151"/>
      <c r="F190" s="150">
        <f t="shared" si="2"/>
        <v>0</v>
      </c>
      <c r="G190" s="151"/>
    </row>
    <row r="191" spans="1:7" ht="15.75" x14ac:dyDescent="0.25">
      <c r="A191" s="149"/>
      <c r="B191" s="87"/>
      <c r="C191" s="86"/>
      <c r="D191" s="151"/>
      <c r="E191" s="151"/>
      <c r="F191" s="150">
        <f t="shared" si="2"/>
        <v>0</v>
      </c>
      <c r="G191" s="151"/>
    </row>
    <row r="192" spans="1:7" ht="15.75" x14ac:dyDescent="0.25">
      <c r="A192" s="149"/>
      <c r="B192" s="87"/>
      <c r="C192" s="86"/>
      <c r="D192" s="151"/>
      <c r="E192" s="151"/>
      <c r="F192" s="150">
        <f t="shared" si="2"/>
        <v>0</v>
      </c>
      <c r="G192" s="151"/>
    </row>
    <row r="193" spans="1:7" ht="15.75" x14ac:dyDescent="0.25">
      <c r="A193" s="149"/>
      <c r="B193" s="87"/>
      <c r="C193" s="86"/>
      <c r="D193" s="151"/>
      <c r="E193" s="151"/>
      <c r="F193" s="150">
        <f t="shared" si="2"/>
        <v>0</v>
      </c>
      <c r="G193" s="151"/>
    </row>
    <row r="194" spans="1:7" ht="15.75" x14ac:dyDescent="0.25">
      <c r="A194" s="149"/>
      <c r="B194" s="87"/>
      <c r="C194" s="86"/>
      <c r="D194" s="151"/>
      <c r="E194" s="151"/>
      <c r="F194" s="150">
        <f t="shared" si="2"/>
        <v>0</v>
      </c>
      <c r="G194" s="151"/>
    </row>
    <row r="195" spans="1:7" ht="15.75" x14ac:dyDescent="0.25">
      <c r="A195" s="149"/>
      <c r="B195" s="87"/>
      <c r="C195" s="86"/>
      <c r="D195" s="151"/>
      <c r="E195" s="151"/>
      <c r="F195" s="150">
        <f t="shared" si="2"/>
        <v>0</v>
      </c>
      <c r="G195" s="151" t="s">
        <v>16</v>
      </c>
    </row>
    <row r="196" spans="1:7" ht="15.75" x14ac:dyDescent="0.25">
      <c r="A196" s="149"/>
      <c r="B196" s="87"/>
      <c r="C196" s="86"/>
      <c r="D196" s="151"/>
      <c r="E196" s="151"/>
      <c r="F196" s="150">
        <f t="shared" si="2"/>
        <v>0</v>
      </c>
      <c r="G196" s="151" t="s">
        <v>16</v>
      </c>
    </row>
    <row r="197" spans="1:7" ht="15.75" x14ac:dyDescent="0.25">
      <c r="A197" s="149"/>
      <c r="B197" s="87"/>
      <c r="C197" s="86"/>
      <c r="D197" s="151"/>
      <c r="E197" s="151"/>
      <c r="F197" s="150">
        <f t="shared" si="2"/>
        <v>0</v>
      </c>
      <c r="G197" s="151"/>
    </row>
    <row r="198" spans="1:7" ht="15.75" x14ac:dyDescent="0.25">
      <c r="A198" s="149"/>
      <c r="B198" s="87"/>
      <c r="C198" s="86"/>
      <c r="D198" s="151"/>
      <c r="E198" s="151"/>
      <c r="F198" s="150">
        <f t="shared" si="2"/>
        <v>0</v>
      </c>
      <c r="G198" s="151"/>
    </row>
    <row r="199" spans="1:7" ht="15.75" x14ac:dyDescent="0.25">
      <c r="A199" s="149"/>
      <c r="B199" s="87"/>
      <c r="C199" s="86"/>
      <c r="D199" s="151"/>
      <c r="E199" s="151"/>
      <c r="F199" s="150">
        <f t="shared" si="2"/>
        <v>0</v>
      </c>
      <c r="G199" s="151"/>
    </row>
    <row r="200" spans="1:7" ht="15.75" x14ac:dyDescent="0.25">
      <c r="A200" s="149"/>
      <c r="B200" s="87"/>
      <c r="C200" s="86"/>
      <c r="D200" s="151"/>
      <c r="E200" s="151"/>
      <c r="F200" s="150">
        <f t="shared" si="2"/>
        <v>0</v>
      </c>
      <c r="G200" s="151"/>
    </row>
    <row r="201" spans="1:7" ht="15.75" x14ac:dyDescent="0.25">
      <c r="A201" s="149"/>
      <c r="B201" s="87"/>
      <c r="C201" s="86"/>
      <c r="D201" s="151"/>
      <c r="E201" s="151"/>
      <c r="F201" s="150">
        <f t="shared" si="2"/>
        <v>0</v>
      </c>
      <c r="G201" s="151"/>
    </row>
    <row r="202" spans="1:7" ht="15.75" x14ac:dyDescent="0.25">
      <c r="A202" s="149"/>
      <c r="B202" s="87"/>
      <c r="C202" s="86"/>
      <c r="D202" s="151"/>
      <c r="E202" s="151"/>
      <c r="F202" s="150">
        <f t="shared" si="2"/>
        <v>0</v>
      </c>
      <c r="G202" s="151"/>
    </row>
    <row r="203" spans="1:7" ht="15.75" x14ac:dyDescent="0.25">
      <c r="A203" s="149"/>
      <c r="B203" s="87"/>
      <c r="C203" s="86"/>
      <c r="D203" s="151"/>
      <c r="E203" s="151"/>
      <c r="F203" s="150">
        <f t="shared" si="2"/>
        <v>0</v>
      </c>
      <c r="G203" s="151"/>
    </row>
    <row r="204" spans="1:7" ht="15.75" x14ac:dyDescent="0.25">
      <c r="A204" s="149"/>
      <c r="B204" s="87"/>
      <c r="C204" s="86"/>
      <c r="D204" s="151"/>
      <c r="E204" s="151"/>
      <c r="F204" s="150">
        <f t="shared" si="2"/>
        <v>0</v>
      </c>
      <c r="G204" s="151"/>
    </row>
    <row r="205" spans="1:7" ht="15.75" x14ac:dyDescent="0.25">
      <c r="A205" s="149"/>
      <c r="B205" s="87"/>
      <c r="C205" s="86"/>
      <c r="D205" s="151"/>
      <c r="E205" s="151"/>
      <c r="F205" s="150">
        <f t="shared" ref="F205:F268" si="3">+F204+D205-E205</f>
        <v>0</v>
      </c>
      <c r="G205" s="151"/>
    </row>
    <row r="206" spans="1:7" ht="15.75" x14ac:dyDescent="0.25">
      <c r="A206" s="149"/>
      <c r="B206" s="87"/>
      <c r="C206" s="86"/>
      <c r="D206" s="151"/>
      <c r="E206" s="151"/>
      <c r="F206" s="150">
        <f t="shared" si="3"/>
        <v>0</v>
      </c>
      <c r="G206" s="151"/>
    </row>
    <row r="207" spans="1:7" ht="15.75" x14ac:dyDescent="0.25">
      <c r="A207" s="149"/>
      <c r="B207" s="87"/>
      <c r="C207" s="86"/>
      <c r="D207" s="151"/>
      <c r="E207" s="151"/>
      <c r="F207" s="150">
        <f t="shared" si="3"/>
        <v>0</v>
      </c>
      <c r="G207" s="151"/>
    </row>
    <row r="208" spans="1:7" ht="15.75" x14ac:dyDescent="0.25">
      <c r="A208" s="149"/>
      <c r="B208" s="87"/>
      <c r="C208" s="86"/>
      <c r="D208" s="151"/>
      <c r="E208" s="151"/>
      <c r="F208" s="150">
        <f t="shared" si="3"/>
        <v>0</v>
      </c>
      <c r="G208" s="151"/>
    </row>
    <row r="209" spans="1:7" ht="15.75" x14ac:dyDescent="0.25">
      <c r="A209" s="149"/>
      <c r="B209" s="87"/>
      <c r="C209" s="86"/>
      <c r="D209" s="151"/>
      <c r="E209" s="151"/>
      <c r="F209" s="150">
        <f t="shared" si="3"/>
        <v>0</v>
      </c>
      <c r="G209" s="151"/>
    </row>
    <row r="210" spans="1:7" ht="15.75" x14ac:dyDescent="0.25">
      <c r="A210" s="149"/>
      <c r="B210" s="87"/>
      <c r="C210" s="86"/>
      <c r="D210" s="151"/>
      <c r="E210" s="151"/>
      <c r="F210" s="150">
        <f t="shared" si="3"/>
        <v>0</v>
      </c>
      <c r="G210" s="151"/>
    </row>
    <row r="211" spans="1:7" ht="15.75" x14ac:dyDescent="0.25">
      <c r="A211" s="149"/>
      <c r="B211" s="87"/>
      <c r="C211" s="86"/>
      <c r="D211" s="151"/>
      <c r="E211" s="151"/>
      <c r="F211" s="150">
        <f t="shared" si="3"/>
        <v>0</v>
      </c>
      <c r="G211" s="151"/>
    </row>
    <row r="212" spans="1:7" ht="15.75" x14ac:dyDescent="0.25">
      <c r="A212" s="149"/>
      <c r="B212" s="87"/>
      <c r="C212" s="86"/>
      <c r="D212" s="151"/>
      <c r="E212" s="151"/>
      <c r="F212" s="150">
        <f t="shared" si="3"/>
        <v>0</v>
      </c>
      <c r="G212" s="151"/>
    </row>
    <row r="213" spans="1:7" ht="15.75" x14ac:dyDescent="0.25">
      <c r="A213" s="149"/>
      <c r="B213" s="87"/>
      <c r="C213" s="86"/>
      <c r="D213" s="151"/>
      <c r="E213" s="151"/>
      <c r="F213" s="150">
        <f t="shared" si="3"/>
        <v>0</v>
      </c>
      <c r="G213" s="151"/>
    </row>
    <row r="214" spans="1:7" ht="15.75" x14ac:dyDescent="0.25">
      <c r="A214" s="149"/>
      <c r="B214" s="87"/>
      <c r="C214" s="86"/>
      <c r="D214" s="151"/>
      <c r="E214" s="151"/>
      <c r="F214" s="150">
        <f t="shared" si="3"/>
        <v>0</v>
      </c>
      <c r="G214" s="151"/>
    </row>
    <row r="215" spans="1:7" ht="15.75" x14ac:dyDescent="0.25">
      <c r="A215" s="149"/>
      <c r="B215" s="87"/>
      <c r="C215" s="86"/>
      <c r="D215" s="151"/>
      <c r="E215" s="151"/>
      <c r="F215" s="150">
        <f t="shared" si="3"/>
        <v>0</v>
      </c>
      <c r="G215" s="151"/>
    </row>
    <row r="216" spans="1:7" ht="15.75" x14ac:dyDescent="0.25">
      <c r="A216" s="149"/>
      <c r="B216" s="87"/>
      <c r="C216" s="86"/>
      <c r="D216" s="151"/>
      <c r="E216" s="151"/>
      <c r="F216" s="150">
        <f t="shared" si="3"/>
        <v>0</v>
      </c>
      <c r="G216" s="151"/>
    </row>
    <row r="217" spans="1:7" ht="15.75" x14ac:dyDescent="0.25">
      <c r="A217" s="149"/>
      <c r="B217" s="87"/>
      <c r="C217" s="86"/>
      <c r="D217" s="151"/>
      <c r="E217" s="151"/>
      <c r="F217" s="150">
        <f t="shared" si="3"/>
        <v>0</v>
      </c>
      <c r="G217" s="151"/>
    </row>
    <row r="218" spans="1:7" ht="15.75" x14ac:dyDescent="0.25">
      <c r="A218" s="149"/>
      <c r="B218" s="87"/>
      <c r="C218" s="86"/>
      <c r="D218" s="151"/>
      <c r="E218" s="151"/>
      <c r="F218" s="150">
        <f t="shared" si="3"/>
        <v>0</v>
      </c>
      <c r="G218" s="151"/>
    </row>
    <row r="219" spans="1:7" ht="15.75" x14ac:dyDescent="0.25">
      <c r="A219" s="149"/>
      <c r="B219" s="87"/>
      <c r="C219" s="86"/>
      <c r="D219" s="151"/>
      <c r="E219" s="151"/>
      <c r="F219" s="150">
        <f t="shared" si="3"/>
        <v>0</v>
      </c>
      <c r="G219" s="151"/>
    </row>
    <row r="220" spans="1:7" ht="15.75" x14ac:dyDescent="0.25">
      <c r="A220" s="149"/>
      <c r="B220" s="87"/>
      <c r="C220" s="86"/>
      <c r="D220" s="151"/>
      <c r="E220" s="151"/>
      <c r="F220" s="150">
        <f t="shared" si="3"/>
        <v>0</v>
      </c>
      <c r="G220" s="151"/>
    </row>
    <row r="221" spans="1:7" ht="15.75" x14ac:dyDescent="0.25">
      <c r="A221" s="149"/>
      <c r="B221" s="87"/>
      <c r="C221" s="86"/>
      <c r="D221" s="151"/>
      <c r="E221" s="151"/>
      <c r="F221" s="150">
        <f t="shared" si="3"/>
        <v>0</v>
      </c>
      <c r="G221" s="151"/>
    </row>
    <row r="222" spans="1:7" ht="15.75" x14ac:dyDescent="0.25">
      <c r="A222" s="149"/>
      <c r="B222" s="87"/>
      <c r="C222" s="86"/>
      <c r="D222" s="151"/>
      <c r="E222" s="151"/>
      <c r="F222" s="150">
        <f t="shared" si="3"/>
        <v>0</v>
      </c>
      <c r="G222" s="151"/>
    </row>
    <row r="223" spans="1:7" ht="15.75" x14ac:dyDescent="0.25">
      <c r="A223" s="149"/>
      <c r="B223" s="87"/>
      <c r="C223" s="86"/>
      <c r="D223" s="151"/>
      <c r="E223" s="151"/>
      <c r="F223" s="150">
        <f t="shared" si="3"/>
        <v>0</v>
      </c>
      <c r="G223" s="151"/>
    </row>
    <row r="224" spans="1:7" ht="15.75" x14ac:dyDescent="0.25">
      <c r="A224" s="149"/>
      <c r="B224" s="87"/>
      <c r="C224" s="86"/>
      <c r="D224" s="151"/>
      <c r="E224" s="151"/>
      <c r="F224" s="150">
        <f t="shared" si="3"/>
        <v>0</v>
      </c>
      <c r="G224" s="151"/>
    </row>
    <row r="225" spans="1:7" ht="15.75" x14ac:dyDescent="0.25">
      <c r="A225" s="149"/>
      <c r="B225" s="87"/>
      <c r="C225" s="86"/>
      <c r="D225" s="151"/>
      <c r="E225" s="151"/>
      <c r="F225" s="150">
        <f t="shared" si="3"/>
        <v>0</v>
      </c>
      <c r="G225" s="151"/>
    </row>
    <row r="226" spans="1:7" ht="15.75" x14ac:dyDescent="0.25">
      <c r="A226" s="149"/>
      <c r="B226" s="87"/>
      <c r="C226" s="86"/>
      <c r="D226" s="151"/>
      <c r="E226" s="151"/>
      <c r="F226" s="150">
        <f t="shared" si="3"/>
        <v>0</v>
      </c>
      <c r="G226" s="151"/>
    </row>
    <row r="227" spans="1:7" ht="15.75" x14ac:dyDescent="0.25">
      <c r="A227" s="149"/>
      <c r="B227" s="87"/>
      <c r="C227" s="86"/>
      <c r="D227" s="151"/>
      <c r="E227" s="151"/>
      <c r="F227" s="150">
        <f t="shared" si="3"/>
        <v>0</v>
      </c>
      <c r="G227" s="151"/>
    </row>
    <row r="228" spans="1:7" ht="15.75" x14ac:dyDescent="0.25">
      <c r="A228" s="149"/>
      <c r="B228" s="87"/>
      <c r="C228" s="86"/>
      <c r="D228" s="151"/>
      <c r="E228" s="151"/>
      <c r="F228" s="150">
        <f t="shared" si="3"/>
        <v>0</v>
      </c>
      <c r="G228" s="151"/>
    </row>
    <row r="229" spans="1:7" ht="15.75" x14ac:dyDescent="0.25">
      <c r="A229" s="149"/>
      <c r="B229" s="87"/>
      <c r="C229" s="86"/>
      <c r="D229" s="151"/>
      <c r="E229" s="151"/>
      <c r="F229" s="150">
        <f t="shared" si="3"/>
        <v>0</v>
      </c>
      <c r="G229" s="151"/>
    </row>
    <row r="230" spans="1:7" ht="15.75" x14ac:dyDescent="0.25">
      <c r="A230" s="149"/>
      <c r="B230" s="87"/>
      <c r="C230" s="86"/>
      <c r="D230" s="151"/>
      <c r="E230" s="151"/>
      <c r="F230" s="150">
        <f t="shared" si="3"/>
        <v>0</v>
      </c>
      <c r="G230" s="151"/>
    </row>
    <row r="231" spans="1:7" ht="15.75" x14ac:dyDescent="0.25">
      <c r="A231" s="149"/>
      <c r="B231" s="87"/>
      <c r="C231" s="86"/>
      <c r="D231" s="151"/>
      <c r="E231" s="151"/>
      <c r="F231" s="150">
        <f t="shared" si="3"/>
        <v>0</v>
      </c>
      <c r="G231" s="151"/>
    </row>
    <row r="232" spans="1:7" ht="15.75" x14ac:dyDescent="0.25">
      <c r="A232" s="149"/>
      <c r="B232" s="87"/>
      <c r="C232" s="86"/>
      <c r="D232" s="151"/>
      <c r="E232" s="151"/>
      <c r="F232" s="150">
        <f t="shared" si="3"/>
        <v>0</v>
      </c>
      <c r="G232" s="151"/>
    </row>
    <row r="233" spans="1:7" ht="15.75" x14ac:dyDescent="0.25">
      <c r="A233" s="149"/>
      <c r="B233" s="87"/>
      <c r="C233" s="86"/>
      <c r="D233" s="151"/>
      <c r="E233" s="151"/>
      <c r="F233" s="150">
        <f t="shared" si="3"/>
        <v>0</v>
      </c>
      <c r="G233" s="151"/>
    </row>
    <row r="234" spans="1:7" ht="15.75" x14ac:dyDescent="0.25">
      <c r="A234" s="149"/>
      <c r="B234" s="87"/>
      <c r="C234" s="86"/>
      <c r="D234" s="151"/>
      <c r="E234" s="151"/>
      <c r="F234" s="150">
        <f t="shared" si="3"/>
        <v>0</v>
      </c>
      <c r="G234" s="151"/>
    </row>
    <row r="235" spans="1:7" ht="15.75" x14ac:dyDescent="0.25">
      <c r="A235" s="149"/>
      <c r="B235" s="87"/>
      <c r="C235" s="86"/>
      <c r="D235" s="151"/>
      <c r="E235" s="151"/>
      <c r="F235" s="150">
        <f t="shared" si="3"/>
        <v>0</v>
      </c>
      <c r="G235" s="151"/>
    </row>
    <row r="236" spans="1:7" ht="15.75" x14ac:dyDescent="0.25">
      <c r="A236" s="149"/>
      <c r="B236" s="87"/>
      <c r="C236" s="86"/>
      <c r="D236" s="151"/>
      <c r="E236" s="151"/>
      <c r="F236" s="150">
        <f t="shared" si="3"/>
        <v>0</v>
      </c>
      <c r="G236" s="151"/>
    </row>
    <row r="237" spans="1:7" ht="15.75" x14ac:dyDescent="0.25">
      <c r="A237" s="149"/>
      <c r="B237" s="87"/>
      <c r="C237" s="86"/>
      <c r="D237" s="151"/>
      <c r="E237" s="151"/>
      <c r="F237" s="150">
        <f t="shared" si="3"/>
        <v>0</v>
      </c>
      <c r="G237" s="151"/>
    </row>
    <row r="238" spans="1:7" ht="15.75" x14ac:dyDescent="0.25">
      <c r="A238" s="149"/>
      <c r="B238" s="87"/>
      <c r="C238" s="86"/>
      <c r="D238" s="151"/>
      <c r="E238" s="151"/>
      <c r="F238" s="150">
        <f t="shared" si="3"/>
        <v>0</v>
      </c>
      <c r="G238" s="151"/>
    </row>
    <row r="239" spans="1:7" ht="15.75" x14ac:dyDescent="0.25">
      <c r="A239" s="149"/>
      <c r="B239" s="87"/>
      <c r="C239" s="86"/>
      <c r="D239" s="151"/>
      <c r="E239" s="151"/>
      <c r="F239" s="150">
        <f t="shared" si="3"/>
        <v>0</v>
      </c>
      <c r="G239" s="151"/>
    </row>
    <row r="240" spans="1:7" ht="15.75" x14ac:dyDescent="0.25">
      <c r="A240" s="149"/>
      <c r="B240" s="87"/>
      <c r="C240" s="86"/>
      <c r="D240" s="151"/>
      <c r="E240" s="151"/>
      <c r="F240" s="150">
        <f t="shared" si="3"/>
        <v>0</v>
      </c>
      <c r="G240" s="151"/>
    </row>
    <row r="241" spans="1:7" ht="15.75" x14ac:dyDescent="0.25">
      <c r="A241" s="149"/>
      <c r="B241" s="87"/>
      <c r="C241" s="86"/>
      <c r="D241" s="151"/>
      <c r="E241" s="151"/>
      <c r="F241" s="150">
        <f t="shared" si="3"/>
        <v>0</v>
      </c>
      <c r="G241" s="151"/>
    </row>
    <row r="242" spans="1:7" ht="15.75" x14ac:dyDescent="0.25">
      <c r="A242" s="149"/>
      <c r="B242" s="87"/>
      <c r="C242" s="86"/>
      <c r="D242" s="151"/>
      <c r="E242" s="151"/>
      <c r="F242" s="150">
        <f t="shared" si="3"/>
        <v>0</v>
      </c>
      <c r="G242" s="151"/>
    </row>
    <row r="243" spans="1:7" ht="15.75" x14ac:dyDescent="0.25">
      <c r="A243" s="149"/>
      <c r="B243" s="87"/>
      <c r="C243" s="86"/>
      <c r="D243" s="151"/>
      <c r="E243" s="151"/>
      <c r="F243" s="150">
        <f t="shared" si="3"/>
        <v>0</v>
      </c>
      <c r="G243" s="151"/>
    </row>
    <row r="244" spans="1:7" ht="15.75" x14ac:dyDescent="0.25">
      <c r="A244" s="149"/>
      <c r="B244" s="87"/>
      <c r="C244" s="86"/>
      <c r="D244" s="151"/>
      <c r="E244" s="151"/>
      <c r="F244" s="150">
        <f t="shared" si="3"/>
        <v>0</v>
      </c>
      <c r="G244" s="151"/>
    </row>
    <row r="245" spans="1:7" ht="15.75" x14ac:dyDescent="0.25">
      <c r="A245" s="149"/>
      <c r="B245" s="87"/>
      <c r="C245" s="86"/>
      <c r="D245" s="151"/>
      <c r="E245" s="151"/>
      <c r="F245" s="150">
        <f t="shared" si="3"/>
        <v>0</v>
      </c>
      <c r="G245" s="151"/>
    </row>
    <row r="246" spans="1:7" ht="15.75" x14ac:dyDescent="0.25">
      <c r="A246" s="149"/>
      <c r="B246" s="87"/>
      <c r="C246" s="86"/>
      <c r="D246" s="151"/>
      <c r="E246" s="151"/>
      <c r="F246" s="150">
        <f t="shared" si="3"/>
        <v>0</v>
      </c>
      <c r="G246" s="151"/>
    </row>
    <row r="247" spans="1:7" ht="15.75" x14ac:dyDescent="0.25">
      <c r="A247" s="149"/>
      <c r="B247" s="87"/>
      <c r="C247" s="86"/>
      <c r="D247" s="151"/>
      <c r="E247" s="151"/>
      <c r="F247" s="150">
        <f t="shared" si="3"/>
        <v>0</v>
      </c>
      <c r="G247" s="151"/>
    </row>
    <row r="248" spans="1:7" ht="15.75" x14ac:dyDescent="0.25">
      <c r="A248" s="149"/>
      <c r="B248" s="87"/>
      <c r="C248" s="86"/>
      <c r="D248" s="151"/>
      <c r="E248" s="151"/>
      <c r="F248" s="150">
        <f t="shared" si="3"/>
        <v>0</v>
      </c>
      <c r="G248" s="151"/>
    </row>
    <row r="249" spans="1:7" ht="15.75" x14ac:dyDescent="0.25">
      <c r="A249" s="149"/>
      <c r="B249" s="87"/>
      <c r="C249" s="86"/>
      <c r="D249" s="151"/>
      <c r="E249" s="151"/>
      <c r="F249" s="150">
        <f t="shared" si="3"/>
        <v>0</v>
      </c>
      <c r="G249" s="151"/>
    </row>
    <row r="250" spans="1:7" ht="15.75" x14ac:dyDescent="0.25">
      <c r="A250" s="149"/>
      <c r="B250" s="87"/>
      <c r="C250" s="86"/>
      <c r="D250" s="151"/>
      <c r="E250" s="151"/>
      <c r="F250" s="150">
        <f t="shared" si="3"/>
        <v>0</v>
      </c>
      <c r="G250" s="151"/>
    </row>
    <row r="251" spans="1:7" ht="15.75" x14ac:dyDescent="0.25">
      <c r="A251" s="149"/>
      <c r="B251" s="87"/>
      <c r="C251" s="86"/>
      <c r="D251" s="151"/>
      <c r="E251" s="151"/>
      <c r="F251" s="150">
        <f t="shared" si="3"/>
        <v>0</v>
      </c>
      <c r="G251" s="151"/>
    </row>
    <row r="252" spans="1:7" ht="15.75" x14ac:dyDescent="0.25">
      <c r="A252" s="149"/>
      <c r="B252" s="87"/>
      <c r="C252" s="86"/>
      <c r="D252" s="151"/>
      <c r="E252" s="151"/>
      <c r="F252" s="150">
        <f t="shared" si="3"/>
        <v>0</v>
      </c>
      <c r="G252" s="151"/>
    </row>
    <row r="253" spans="1:7" ht="15.75" x14ac:dyDescent="0.25">
      <c r="A253" s="149"/>
      <c r="B253" s="87"/>
      <c r="C253" s="86"/>
      <c r="D253" s="151"/>
      <c r="E253" s="151"/>
      <c r="F253" s="150">
        <f t="shared" si="3"/>
        <v>0</v>
      </c>
      <c r="G253" s="151"/>
    </row>
    <row r="254" spans="1:7" ht="15.75" x14ac:dyDescent="0.25">
      <c r="A254" s="149"/>
      <c r="B254" s="87"/>
      <c r="C254" s="86"/>
      <c r="D254" s="151"/>
      <c r="E254" s="151"/>
      <c r="F254" s="150">
        <f t="shared" si="3"/>
        <v>0</v>
      </c>
      <c r="G254" s="151"/>
    </row>
    <row r="255" spans="1:7" ht="15.75" x14ac:dyDescent="0.25">
      <c r="A255" s="149"/>
      <c r="B255" s="87"/>
      <c r="C255" s="86"/>
      <c r="D255" s="151"/>
      <c r="E255" s="151"/>
      <c r="F255" s="150">
        <f t="shared" si="3"/>
        <v>0</v>
      </c>
      <c r="G255" s="151"/>
    </row>
    <row r="256" spans="1:7" ht="15.75" x14ac:dyDescent="0.25">
      <c r="A256" s="149"/>
      <c r="B256" s="87"/>
      <c r="C256" s="86"/>
      <c r="D256" s="151"/>
      <c r="E256" s="151"/>
      <c r="F256" s="150">
        <f t="shared" si="3"/>
        <v>0</v>
      </c>
      <c r="G256" s="151"/>
    </row>
    <row r="257" spans="1:7" ht="15.75" x14ac:dyDescent="0.25">
      <c r="A257" s="149"/>
      <c r="B257" s="87"/>
      <c r="C257" s="86"/>
      <c r="D257" s="151"/>
      <c r="E257" s="151"/>
      <c r="F257" s="150">
        <f t="shared" si="3"/>
        <v>0</v>
      </c>
      <c r="G257" s="151"/>
    </row>
    <row r="258" spans="1:7" ht="15.75" x14ac:dyDescent="0.25">
      <c r="A258" s="149"/>
      <c r="B258" s="87"/>
      <c r="C258" s="86"/>
      <c r="D258" s="151"/>
      <c r="E258" s="151"/>
      <c r="F258" s="150">
        <f t="shared" si="3"/>
        <v>0</v>
      </c>
      <c r="G258" s="151"/>
    </row>
    <row r="259" spans="1:7" ht="15.75" x14ac:dyDescent="0.25">
      <c r="A259" s="149"/>
      <c r="B259" s="87"/>
      <c r="C259" s="86"/>
      <c r="D259" s="151"/>
      <c r="E259" s="151"/>
      <c r="F259" s="150">
        <f t="shared" si="3"/>
        <v>0</v>
      </c>
      <c r="G259" s="151"/>
    </row>
    <row r="260" spans="1:7" ht="15.75" x14ac:dyDescent="0.25">
      <c r="A260" s="149"/>
      <c r="B260" s="87"/>
      <c r="C260" s="86"/>
      <c r="D260" s="151"/>
      <c r="E260" s="151"/>
      <c r="F260" s="150">
        <f t="shared" si="3"/>
        <v>0</v>
      </c>
      <c r="G260" s="151"/>
    </row>
    <row r="261" spans="1:7" ht="15.75" x14ac:dyDescent="0.25">
      <c r="A261" s="149"/>
      <c r="B261" s="87"/>
      <c r="C261" s="86"/>
      <c r="D261" s="151"/>
      <c r="E261" s="151"/>
      <c r="F261" s="150">
        <f t="shared" si="3"/>
        <v>0</v>
      </c>
      <c r="G261" s="151"/>
    </row>
    <row r="262" spans="1:7" ht="15.75" x14ac:dyDescent="0.25">
      <c r="A262" s="149"/>
      <c r="B262" s="87"/>
      <c r="C262" s="86"/>
      <c r="D262" s="151"/>
      <c r="E262" s="151"/>
      <c r="F262" s="150">
        <f t="shared" si="3"/>
        <v>0</v>
      </c>
      <c r="G262" s="151"/>
    </row>
    <row r="263" spans="1:7" ht="15.75" x14ac:dyDescent="0.25">
      <c r="A263" s="149"/>
      <c r="B263" s="87"/>
      <c r="C263" s="86"/>
      <c r="D263" s="151"/>
      <c r="E263" s="151"/>
      <c r="F263" s="150">
        <f t="shared" si="3"/>
        <v>0</v>
      </c>
      <c r="G263" s="151"/>
    </row>
    <row r="264" spans="1:7" ht="15.75" x14ac:dyDescent="0.25">
      <c r="A264" s="149"/>
      <c r="B264" s="87"/>
      <c r="C264" s="86"/>
      <c r="D264" s="151"/>
      <c r="E264" s="151"/>
      <c r="F264" s="150">
        <f t="shared" si="3"/>
        <v>0</v>
      </c>
      <c r="G264" s="151"/>
    </row>
    <row r="265" spans="1:7" ht="15.75" x14ac:dyDescent="0.25">
      <c r="A265" s="149"/>
      <c r="B265" s="87"/>
      <c r="C265" s="86"/>
      <c r="D265" s="151"/>
      <c r="E265" s="151"/>
      <c r="F265" s="150">
        <f t="shared" si="3"/>
        <v>0</v>
      </c>
      <c r="G265" s="151"/>
    </row>
    <row r="266" spans="1:7" ht="15.75" x14ac:dyDescent="0.25">
      <c r="A266" s="149"/>
      <c r="B266" s="87"/>
      <c r="C266" s="86"/>
      <c r="D266" s="151"/>
      <c r="E266" s="151"/>
      <c r="F266" s="150">
        <f t="shared" si="3"/>
        <v>0</v>
      </c>
      <c r="G266" s="151"/>
    </row>
    <row r="267" spans="1:7" ht="15.75" x14ac:dyDescent="0.25">
      <c r="A267" s="149"/>
      <c r="B267" s="87"/>
      <c r="C267" s="86"/>
      <c r="D267" s="151"/>
      <c r="E267" s="151"/>
      <c r="F267" s="150">
        <f t="shared" si="3"/>
        <v>0</v>
      </c>
      <c r="G267" s="151"/>
    </row>
    <row r="268" spans="1:7" ht="15.75" x14ac:dyDescent="0.25">
      <c r="A268" s="149"/>
      <c r="B268" s="87"/>
      <c r="C268" s="86"/>
      <c r="D268" s="151"/>
      <c r="E268" s="151"/>
      <c r="F268" s="150">
        <f t="shared" si="3"/>
        <v>0</v>
      </c>
      <c r="G268" s="151"/>
    </row>
    <row r="269" spans="1:7" ht="15.75" x14ac:dyDescent="0.25">
      <c r="A269" s="149"/>
      <c r="B269" s="87"/>
      <c r="C269" s="86"/>
      <c r="D269" s="151"/>
      <c r="E269" s="151"/>
      <c r="F269" s="150">
        <f t="shared" ref="F269:F306" si="4">+F268+D269-E269</f>
        <v>0</v>
      </c>
      <c r="G269" s="151"/>
    </row>
    <row r="270" spans="1:7" ht="15.75" x14ac:dyDescent="0.25">
      <c r="A270" s="149"/>
      <c r="B270" s="87"/>
      <c r="C270" s="86"/>
      <c r="D270" s="151"/>
      <c r="E270" s="151"/>
      <c r="F270" s="150">
        <f t="shared" si="4"/>
        <v>0</v>
      </c>
      <c r="G270" s="151"/>
    </row>
    <row r="271" spans="1:7" ht="15.75" x14ac:dyDescent="0.25">
      <c r="A271" s="149"/>
      <c r="B271" s="87"/>
      <c r="C271" s="86"/>
      <c r="D271" s="151"/>
      <c r="E271" s="151"/>
      <c r="F271" s="150">
        <f t="shared" si="4"/>
        <v>0</v>
      </c>
      <c r="G271" s="151"/>
    </row>
    <row r="272" spans="1:7" ht="15.75" x14ac:dyDescent="0.25">
      <c r="A272" s="149"/>
      <c r="B272" s="87"/>
      <c r="C272" s="86"/>
      <c r="D272" s="151"/>
      <c r="E272" s="151"/>
      <c r="F272" s="150">
        <f t="shared" si="4"/>
        <v>0</v>
      </c>
      <c r="G272" s="151"/>
    </row>
    <row r="273" spans="1:7" ht="15.75" x14ac:dyDescent="0.25">
      <c r="A273" s="149"/>
      <c r="B273" s="87"/>
      <c r="C273" s="86"/>
      <c r="D273" s="151"/>
      <c r="E273" s="151"/>
      <c r="F273" s="150">
        <f t="shared" si="4"/>
        <v>0</v>
      </c>
      <c r="G273" s="151"/>
    </row>
    <row r="274" spans="1:7" ht="15.75" x14ac:dyDescent="0.25">
      <c r="A274" s="149"/>
      <c r="B274" s="87"/>
      <c r="C274" s="86"/>
      <c r="D274" s="151"/>
      <c r="E274" s="151"/>
      <c r="F274" s="150">
        <f t="shared" si="4"/>
        <v>0</v>
      </c>
      <c r="G274" s="151"/>
    </row>
    <row r="275" spans="1:7" ht="15.75" x14ac:dyDescent="0.25">
      <c r="A275" s="149"/>
      <c r="B275" s="87"/>
      <c r="C275" s="86"/>
      <c r="D275" s="151"/>
      <c r="E275" s="151"/>
      <c r="F275" s="150">
        <f t="shared" si="4"/>
        <v>0</v>
      </c>
      <c r="G275" s="151"/>
    </row>
    <row r="276" spans="1:7" ht="15.75" x14ac:dyDescent="0.25">
      <c r="A276" s="149"/>
      <c r="B276" s="87"/>
      <c r="C276" s="86"/>
      <c r="D276" s="151"/>
      <c r="E276" s="151"/>
      <c r="F276" s="150">
        <f t="shared" si="4"/>
        <v>0</v>
      </c>
      <c r="G276" s="151"/>
    </row>
    <row r="277" spans="1:7" ht="15.75" x14ac:dyDescent="0.25">
      <c r="A277" s="149"/>
      <c r="B277" s="87"/>
      <c r="C277" s="86"/>
      <c r="D277" s="151"/>
      <c r="E277" s="151"/>
      <c r="F277" s="150">
        <f t="shared" si="4"/>
        <v>0</v>
      </c>
      <c r="G277" s="151"/>
    </row>
    <row r="278" spans="1:7" ht="15.75" x14ac:dyDescent="0.25">
      <c r="A278" s="149"/>
      <c r="B278" s="87"/>
      <c r="C278" s="86"/>
      <c r="D278" s="151"/>
      <c r="E278" s="151"/>
      <c r="F278" s="150">
        <f t="shared" si="4"/>
        <v>0</v>
      </c>
      <c r="G278" s="151"/>
    </row>
    <row r="279" spans="1:7" ht="15.75" x14ac:dyDescent="0.25">
      <c r="A279" s="149"/>
      <c r="B279" s="87"/>
      <c r="C279" s="86"/>
      <c r="D279" s="151"/>
      <c r="E279" s="151"/>
      <c r="F279" s="150">
        <f t="shared" si="4"/>
        <v>0</v>
      </c>
      <c r="G279" s="151"/>
    </row>
    <row r="280" spans="1:7" ht="15.75" x14ac:dyDescent="0.25">
      <c r="A280" s="149"/>
      <c r="B280" s="87"/>
      <c r="C280" s="86"/>
      <c r="D280" s="151"/>
      <c r="E280" s="151"/>
      <c r="F280" s="150">
        <f t="shared" si="4"/>
        <v>0</v>
      </c>
      <c r="G280" s="151"/>
    </row>
    <row r="281" spans="1:7" ht="15.75" x14ac:dyDescent="0.25">
      <c r="A281" s="149"/>
      <c r="B281" s="87"/>
      <c r="C281" s="86"/>
      <c r="D281" s="151"/>
      <c r="E281" s="151"/>
      <c r="F281" s="150">
        <f t="shared" si="4"/>
        <v>0</v>
      </c>
      <c r="G281" s="151"/>
    </row>
    <row r="282" spans="1:7" ht="15.75" x14ac:dyDescent="0.25">
      <c r="A282" s="149"/>
      <c r="B282" s="87"/>
      <c r="C282" s="86"/>
      <c r="D282" s="151"/>
      <c r="E282" s="151"/>
      <c r="F282" s="150">
        <f t="shared" si="4"/>
        <v>0</v>
      </c>
      <c r="G282" s="151"/>
    </row>
    <row r="283" spans="1:7" ht="15.75" x14ac:dyDescent="0.25">
      <c r="A283" s="149"/>
      <c r="B283" s="87"/>
      <c r="C283" s="86"/>
      <c r="D283" s="151"/>
      <c r="E283" s="151"/>
      <c r="F283" s="150">
        <f t="shared" si="4"/>
        <v>0</v>
      </c>
      <c r="G283" s="151"/>
    </row>
    <row r="284" spans="1:7" ht="15.75" x14ac:dyDescent="0.25">
      <c r="A284" s="149"/>
      <c r="B284" s="87"/>
      <c r="C284" s="86"/>
      <c r="D284" s="151"/>
      <c r="E284" s="151"/>
      <c r="F284" s="150">
        <f t="shared" si="4"/>
        <v>0</v>
      </c>
      <c r="G284" s="151"/>
    </row>
    <row r="285" spans="1:7" ht="15.75" x14ac:dyDescent="0.25">
      <c r="A285" s="149"/>
      <c r="B285" s="87"/>
      <c r="C285" s="86"/>
      <c r="D285" s="151"/>
      <c r="E285" s="151"/>
      <c r="F285" s="150">
        <f t="shared" si="4"/>
        <v>0</v>
      </c>
      <c r="G285" s="151"/>
    </row>
    <row r="286" spans="1:7" ht="15.75" x14ac:dyDescent="0.25">
      <c r="A286" s="149"/>
      <c r="B286" s="87"/>
      <c r="C286" s="86"/>
      <c r="D286" s="151"/>
      <c r="E286" s="151"/>
      <c r="F286" s="150">
        <f t="shared" si="4"/>
        <v>0</v>
      </c>
      <c r="G286" s="151"/>
    </row>
    <row r="287" spans="1:7" ht="15.75" x14ac:dyDescent="0.25">
      <c r="A287" s="149"/>
      <c r="B287" s="87"/>
      <c r="C287" s="86"/>
      <c r="D287" s="151"/>
      <c r="E287" s="151"/>
      <c r="F287" s="150">
        <f t="shared" si="4"/>
        <v>0</v>
      </c>
      <c r="G287" s="151" t="s">
        <v>15</v>
      </c>
    </row>
    <row r="288" spans="1:7" ht="15.75" x14ac:dyDescent="0.25">
      <c r="A288" s="149"/>
      <c r="B288" s="87"/>
      <c r="C288" s="86"/>
      <c r="D288" s="151"/>
      <c r="E288" s="151"/>
      <c r="F288" s="150">
        <f t="shared" si="4"/>
        <v>0</v>
      </c>
      <c r="G288" s="151"/>
    </row>
    <row r="289" spans="1:7" ht="15.75" x14ac:dyDescent="0.25">
      <c r="A289" s="149"/>
      <c r="B289" s="87"/>
      <c r="C289" s="86"/>
      <c r="D289" s="151"/>
      <c r="E289" s="151"/>
      <c r="F289" s="150">
        <f t="shared" si="4"/>
        <v>0</v>
      </c>
      <c r="G289" s="151"/>
    </row>
    <row r="290" spans="1:7" ht="15.75" x14ac:dyDescent="0.25">
      <c r="A290" s="149"/>
      <c r="B290" s="87"/>
      <c r="C290" s="86"/>
      <c r="D290" s="151"/>
      <c r="E290" s="151"/>
      <c r="F290" s="150">
        <f t="shared" si="4"/>
        <v>0</v>
      </c>
      <c r="G290" s="151"/>
    </row>
    <row r="291" spans="1:7" ht="15.75" x14ac:dyDescent="0.25">
      <c r="A291" s="149"/>
      <c r="B291" s="87"/>
      <c r="C291" s="86"/>
      <c r="D291" s="151"/>
      <c r="E291" s="151"/>
      <c r="F291" s="150">
        <f t="shared" si="4"/>
        <v>0</v>
      </c>
      <c r="G291" s="151"/>
    </row>
    <row r="292" spans="1:7" ht="15.75" x14ac:dyDescent="0.25">
      <c r="A292" s="149"/>
      <c r="B292" s="87"/>
      <c r="C292" s="86"/>
      <c r="D292" s="151"/>
      <c r="E292" s="151"/>
      <c r="F292" s="150">
        <f t="shared" si="4"/>
        <v>0</v>
      </c>
      <c r="G292" s="151"/>
    </row>
    <row r="293" spans="1:7" ht="15.75" x14ac:dyDescent="0.25">
      <c r="A293" s="149"/>
      <c r="B293" s="87"/>
      <c r="C293" s="86"/>
      <c r="D293" s="151"/>
      <c r="E293" s="151"/>
      <c r="F293" s="150">
        <f t="shared" si="4"/>
        <v>0</v>
      </c>
      <c r="G293" s="151"/>
    </row>
    <row r="294" spans="1:7" ht="15.75" x14ac:dyDescent="0.25">
      <c r="A294" s="149"/>
      <c r="B294" s="87"/>
      <c r="C294" s="86"/>
      <c r="D294" s="151"/>
      <c r="E294" s="151"/>
      <c r="F294" s="150">
        <f t="shared" si="4"/>
        <v>0</v>
      </c>
      <c r="G294" s="151"/>
    </row>
    <row r="295" spans="1:7" ht="15.75" x14ac:dyDescent="0.25">
      <c r="A295" s="149"/>
      <c r="B295" s="87"/>
      <c r="C295" s="86"/>
      <c r="D295" s="151"/>
      <c r="E295" s="151"/>
      <c r="F295" s="150">
        <f t="shared" si="4"/>
        <v>0</v>
      </c>
      <c r="G295" s="151"/>
    </row>
    <row r="296" spans="1:7" ht="15.75" x14ac:dyDescent="0.25">
      <c r="A296" s="149"/>
      <c r="B296" s="87"/>
      <c r="C296" s="86"/>
      <c r="D296" s="151"/>
      <c r="E296" s="151"/>
      <c r="F296" s="150">
        <f t="shared" si="4"/>
        <v>0</v>
      </c>
      <c r="G296" s="151"/>
    </row>
    <row r="297" spans="1:7" ht="15.75" x14ac:dyDescent="0.25">
      <c r="A297" s="149"/>
      <c r="B297" s="87"/>
      <c r="C297" s="86"/>
      <c r="D297" s="151"/>
      <c r="E297" s="151"/>
      <c r="F297" s="150">
        <f t="shared" si="4"/>
        <v>0</v>
      </c>
      <c r="G297" s="151"/>
    </row>
    <row r="298" spans="1:7" ht="15.75" x14ac:dyDescent="0.25">
      <c r="A298" s="149"/>
      <c r="B298" s="87"/>
      <c r="C298" s="86"/>
      <c r="D298" s="151"/>
      <c r="E298" s="151"/>
      <c r="F298" s="150">
        <f t="shared" si="4"/>
        <v>0</v>
      </c>
      <c r="G298" s="151"/>
    </row>
    <row r="299" spans="1:7" ht="15.75" x14ac:dyDescent="0.25">
      <c r="A299" s="149"/>
      <c r="B299" s="87"/>
      <c r="C299" s="86"/>
      <c r="D299" s="151"/>
      <c r="E299" s="151"/>
      <c r="F299" s="150">
        <f t="shared" si="4"/>
        <v>0</v>
      </c>
      <c r="G299" s="151"/>
    </row>
    <row r="300" spans="1:7" ht="15.75" x14ac:dyDescent="0.25">
      <c r="A300" s="149"/>
      <c r="B300" s="87"/>
      <c r="C300" s="86"/>
      <c r="D300" s="151"/>
      <c r="E300" s="151"/>
      <c r="F300" s="150">
        <f t="shared" si="4"/>
        <v>0</v>
      </c>
      <c r="G300" s="151"/>
    </row>
    <row r="301" spans="1:7" ht="15.75" x14ac:dyDescent="0.25">
      <c r="A301" s="149"/>
      <c r="B301" s="87"/>
      <c r="C301" s="86"/>
      <c r="D301" s="151"/>
      <c r="E301" s="151"/>
      <c r="F301" s="150">
        <f t="shared" si="4"/>
        <v>0</v>
      </c>
      <c r="G301" s="151"/>
    </row>
    <row r="302" spans="1:7" ht="15.75" x14ac:dyDescent="0.25">
      <c r="A302" s="149"/>
      <c r="B302" s="87"/>
      <c r="C302" s="86"/>
      <c r="D302" s="151"/>
      <c r="E302" s="151"/>
      <c r="F302" s="150">
        <f t="shared" si="4"/>
        <v>0</v>
      </c>
      <c r="G302" s="151"/>
    </row>
    <row r="303" spans="1:7" ht="15.75" x14ac:dyDescent="0.25">
      <c r="A303" s="149"/>
      <c r="B303" s="87"/>
      <c r="C303" s="86"/>
      <c r="D303" s="151"/>
      <c r="E303" s="151"/>
      <c r="F303" s="150">
        <f t="shared" si="4"/>
        <v>0</v>
      </c>
      <c r="G303" s="151"/>
    </row>
    <row r="304" spans="1:7" ht="15.75" x14ac:dyDescent="0.25">
      <c r="A304" s="149"/>
      <c r="B304" s="87"/>
      <c r="C304" s="86"/>
      <c r="D304" s="151"/>
      <c r="E304" s="151"/>
      <c r="F304" s="150">
        <f t="shared" si="4"/>
        <v>0</v>
      </c>
      <c r="G304" s="151"/>
    </row>
    <row r="305" spans="1:7" ht="15.75" x14ac:dyDescent="0.25">
      <c r="A305" s="149"/>
      <c r="B305" s="87"/>
      <c r="C305" s="86"/>
      <c r="D305" s="151"/>
      <c r="E305" s="151"/>
      <c r="F305" s="150">
        <f t="shared" si="4"/>
        <v>0</v>
      </c>
      <c r="G305" s="151"/>
    </row>
    <row r="306" spans="1:7" ht="15.75" x14ac:dyDescent="0.25">
      <c r="A306" s="149"/>
      <c r="B306" s="87"/>
      <c r="C306" s="86"/>
      <c r="D306" s="151"/>
      <c r="E306" s="151"/>
      <c r="F306" s="150">
        <f t="shared" si="4"/>
        <v>0</v>
      </c>
      <c r="G306" s="151"/>
    </row>
    <row r="307" spans="1:7" ht="15.75" x14ac:dyDescent="0.25">
      <c r="A307" s="149"/>
      <c r="B307" s="86"/>
      <c r="C307" s="86"/>
      <c r="D307" s="86"/>
      <c r="E307" s="86"/>
      <c r="F307" s="86"/>
      <c r="G307" s="86"/>
    </row>
    <row r="308" spans="1:7" ht="16.5" thickBot="1" x14ac:dyDescent="0.3">
      <c r="A308" s="152"/>
      <c r="B308" s="153"/>
      <c r="C308" s="153" t="s">
        <v>13</v>
      </c>
      <c r="D308" s="154">
        <f>SUM(D12:D307)</f>
        <v>0</v>
      </c>
      <c r="E308" s="154">
        <f>SUM(E13:E307)</f>
        <v>0</v>
      </c>
      <c r="F308" s="154">
        <f>D308-E308</f>
        <v>0</v>
      </c>
      <c r="G308" s="155"/>
    </row>
    <row r="309" spans="1:7" ht="15.75" x14ac:dyDescent="0.25">
      <c r="A309" s="81"/>
      <c r="B309" s="81"/>
      <c r="C309" s="81"/>
      <c r="D309" s="81"/>
      <c r="E309" s="81"/>
      <c r="F309" s="81"/>
      <c r="G309" s="81"/>
    </row>
    <row r="310" spans="1:7" ht="15.75" x14ac:dyDescent="0.25">
      <c r="A310" s="81"/>
      <c r="B310" s="81"/>
      <c r="C310" s="81"/>
      <c r="D310" s="81"/>
      <c r="E310" s="81"/>
      <c r="F310" s="81"/>
      <c r="G310" s="81"/>
    </row>
    <row r="311" spans="1:7" ht="15.75" x14ac:dyDescent="0.25">
      <c r="A311" s="156" t="s">
        <v>4</v>
      </c>
      <c r="B311" s="156"/>
      <c r="C311" s="156"/>
      <c r="D311" s="156"/>
      <c r="E311" s="156"/>
      <c r="F311" s="156"/>
      <c r="G311" s="156"/>
    </row>
    <row r="312" spans="1:7" ht="15.75" x14ac:dyDescent="0.25">
      <c r="A312" s="156" t="s">
        <v>5</v>
      </c>
      <c r="B312" s="132"/>
      <c r="C312" s="132"/>
      <c r="D312" s="132"/>
      <c r="E312" s="81"/>
      <c r="F312" s="81"/>
      <c r="G312" s="81"/>
    </row>
    <row r="313" spans="1:7" ht="15.75" x14ac:dyDescent="0.25">
      <c r="A313" s="81"/>
      <c r="B313" s="81"/>
      <c r="C313" s="81"/>
      <c r="D313" s="157"/>
      <c r="E313" s="81"/>
      <c r="F313" s="81"/>
      <c r="G313" s="81"/>
    </row>
    <row r="314" spans="1:7" ht="15.75" x14ac:dyDescent="0.25">
      <c r="A314" s="81"/>
      <c r="B314" s="81"/>
      <c r="C314" s="81"/>
      <c r="D314" s="81"/>
      <c r="E314" s="81"/>
      <c r="F314" s="81"/>
      <c r="G314" s="81"/>
    </row>
    <row r="315" spans="1:7" ht="15.75" x14ac:dyDescent="0.25">
      <c r="A315" s="81"/>
      <c r="B315" s="81"/>
      <c r="C315" s="81"/>
      <c r="D315" s="81"/>
      <c r="E315" s="81"/>
      <c r="F315" s="81"/>
      <c r="G315" s="81"/>
    </row>
    <row r="316" spans="1:7" ht="15.75" x14ac:dyDescent="0.25">
      <c r="A316" s="81"/>
      <c r="B316" s="81"/>
      <c r="C316" s="81"/>
      <c r="D316" s="81"/>
      <c r="E316" s="81"/>
      <c r="F316" s="81"/>
      <c r="G316" s="81"/>
    </row>
    <row r="317" spans="1:7" x14ac:dyDescent="0.25">
      <c r="A317" s="5" t="s">
        <v>4</v>
      </c>
      <c r="B317" s="5"/>
      <c r="C317" s="5"/>
      <c r="D317" s="5"/>
      <c r="E317" s="5"/>
      <c r="F317" s="5"/>
      <c r="G317" s="5"/>
    </row>
    <row r="318" spans="1:7" x14ac:dyDescent="0.25">
      <c r="A318" s="5" t="s">
        <v>5</v>
      </c>
      <c r="B318" s="6"/>
      <c r="C318" s="6"/>
      <c r="D318" s="6"/>
    </row>
  </sheetData>
  <mergeCells count="2">
    <mergeCell ref="A5:G5"/>
    <mergeCell ref="A8:G8"/>
  </mergeCells>
  <pageMargins left="0.7" right="0.7" top="0.75" bottom="0.75" header="0.3" footer="0.3"/>
  <pageSetup paperSize="9" scale="4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5E7C-986D-45BB-9493-4BE62321A9C1}">
  <dimension ref="A1:I40"/>
  <sheetViews>
    <sheetView workbookViewId="0">
      <selection activeCell="J1" sqref="J1"/>
    </sheetView>
  </sheetViews>
  <sheetFormatPr defaultRowHeight="15" x14ac:dyDescent="0.25"/>
  <cols>
    <col min="1" max="1" width="9.85546875" customWidth="1"/>
    <col min="2" max="2" width="16.140625" customWidth="1"/>
    <col min="3" max="3" width="28" customWidth="1"/>
    <col min="4" max="4" width="3.28515625" hidden="1" customWidth="1"/>
    <col min="5" max="5" width="20.42578125" customWidth="1"/>
    <col min="6" max="6" width="15.140625" customWidth="1"/>
    <col min="7" max="7" width="13.5703125" customWidth="1"/>
    <col min="8" max="8" width="18.28515625" customWidth="1"/>
    <col min="9" max="9" width="0.7109375" customWidth="1"/>
  </cols>
  <sheetData>
    <row r="1" spans="1:9" x14ac:dyDescent="0.25">
      <c r="A1" s="107" t="str">
        <f>+Acess!A1</f>
        <v>Empresa: Mozambique Support Services, Lda</v>
      </c>
      <c r="B1" s="107"/>
      <c r="C1" s="107"/>
      <c r="D1" s="107"/>
      <c r="E1" s="107"/>
      <c r="F1" s="107"/>
      <c r="G1" s="107"/>
      <c r="H1" s="107"/>
      <c r="I1" s="107"/>
    </row>
    <row r="2" spans="1:9" x14ac:dyDescent="0.25">
      <c r="A2" s="107" t="str">
        <f>+Acess!A2</f>
        <v xml:space="preserve">Nuit: </v>
      </c>
      <c r="B2" s="108">
        <v>401761349</v>
      </c>
      <c r="C2" s="108"/>
      <c r="D2" s="108"/>
      <c r="E2" s="108"/>
      <c r="F2" s="108"/>
      <c r="G2" s="108"/>
      <c r="H2" s="108"/>
      <c r="I2" s="108"/>
    </row>
    <row r="3" spans="1:9" x14ac:dyDescent="0.25">
      <c r="A3" s="107" t="str">
        <f>+Acess!A3</f>
        <v xml:space="preserve">Periodo: </v>
      </c>
      <c r="B3" s="108">
        <v>2025</v>
      </c>
      <c r="C3" s="108"/>
      <c r="D3" s="108"/>
      <c r="E3" s="108"/>
      <c r="F3" s="108"/>
      <c r="G3" s="108"/>
      <c r="H3" s="108"/>
      <c r="I3" s="108"/>
    </row>
    <row r="4" spans="1:9" x14ac:dyDescent="0.25">
      <c r="A4" s="108"/>
      <c r="B4" s="108"/>
      <c r="C4" s="108"/>
      <c r="D4" s="108"/>
      <c r="E4" s="108"/>
      <c r="F4" s="108"/>
      <c r="G4" s="108"/>
      <c r="H4" s="108"/>
      <c r="I4" s="108"/>
    </row>
    <row r="5" spans="1:9" ht="15.75" thickBot="1" x14ac:dyDescent="0.3">
      <c r="A5" s="306" t="s">
        <v>10</v>
      </c>
      <c r="B5" s="306"/>
      <c r="C5" s="306"/>
      <c r="D5" s="306"/>
      <c r="E5" s="306"/>
      <c r="F5" s="306"/>
      <c r="G5" s="306"/>
      <c r="H5" s="306"/>
      <c r="I5" s="306"/>
    </row>
    <row r="6" spans="1:9" ht="15.75" thickTop="1" x14ac:dyDescent="0.25">
      <c r="A6" s="108"/>
      <c r="B6" s="108"/>
      <c r="C6" s="108"/>
      <c r="D6" s="108"/>
      <c r="E6" s="108"/>
      <c r="F6" s="108"/>
      <c r="G6" s="108"/>
      <c r="H6" s="108"/>
      <c r="I6" s="108"/>
    </row>
    <row r="7" spans="1:9" x14ac:dyDescent="0.25">
      <c r="A7" s="107" t="s">
        <v>11</v>
      </c>
      <c r="B7" s="108"/>
      <c r="C7" s="108"/>
      <c r="D7" s="108"/>
      <c r="E7" s="108"/>
      <c r="F7" s="108"/>
      <c r="G7" s="108"/>
      <c r="H7" s="108"/>
      <c r="I7" s="108"/>
    </row>
    <row r="8" spans="1:9" ht="15.75" thickBot="1" x14ac:dyDescent="0.3">
      <c r="A8" s="307" t="s">
        <v>75</v>
      </c>
      <c r="B8" s="307"/>
      <c r="C8" s="307"/>
      <c r="D8" s="307"/>
      <c r="E8" s="307"/>
      <c r="F8" s="307"/>
      <c r="G8" s="307"/>
      <c r="H8" s="307"/>
      <c r="I8" s="307"/>
    </row>
    <row r="9" spans="1:9" ht="16.5" thickTop="1" thickBot="1" x14ac:dyDescent="0.3">
      <c r="A9" s="108"/>
      <c r="B9" s="108"/>
      <c r="C9" s="108"/>
      <c r="D9" s="108"/>
      <c r="E9" s="108"/>
      <c r="F9" s="108"/>
      <c r="G9" s="108"/>
      <c r="H9" s="109"/>
      <c r="I9" s="110"/>
    </row>
    <row r="10" spans="1:9" ht="15.75" thickBot="1" x14ac:dyDescent="0.3">
      <c r="A10" s="111" t="s">
        <v>0</v>
      </c>
      <c r="B10" s="112" t="s">
        <v>1</v>
      </c>
      <c r="C10" s="112" t="s">
        <v>2</v>
      </c>
      <c r="D10" s="112" t="s">
        <v>82</v>
      </c>
      <c r="E10" s="112" t="s">
        <v>20</v>
      </c>
      <c r="F10" s="113" t="s">
        <v>7</v>
      </c>
      <c r="G10" s="112" t="s">
        <v>8</v>
      </c>
      <c r="H10" s="112" t="s">
        <v>9</v>
      </c>
      <c r="I10" s="114" t="s">
        <v>3</v>
      </c>
    </row>
    <row r="11" spans="1:9" x14ac:dyDescent="0.25">
      <c r="A11" s="115">
        <v>1</v>
      </c>
      <c r="B11" s="116"/>
      <c r="C11" s="117" t="s">
        <v>33</v>
      </c>
      <c r="D11" s="130"/>
      <c r="E11" s="130"/>
      <c r="F11" s="130">
        <v>50000</v>
      </c>
      <c r="G11" s="130"/>
      <c r="H11" s="131"/>
      <c r="I11" s="116"/>
    </row>
    <row r="12" spans="1:9" x14ac:dyDescent="0.25">
      <c r="A12" s="118">
        <v>2</v>
      </c>
      <c r="B12" s="119"/>
      <c r="C12" s="126" t="s">
        <v>76</v>
      </c>
      <c r="D12" s="119"/>
      <c r="E12" s="119" t="s">
        <v>89</v>
      </c>
      <c r="F12" s="119"/>
      <c r="G12" s="119">
        <v>2000</v>
      </c>
      <c r="H12" s="120">
        <f>SUM(F11-G12)</f>
        <v>48000</v>
      </c>
      <c r="I12" s="116"/>
    </row>
    <row r="13" spans="1:9" x14ac:dyDescent="0.25">
      <c r="A13" s="118">
        <v>3</v>
      </c>
      <c r="B13" s="121"/>
      <c r="C13" s="126" t="s">
        <v>34</v>
      </c>
      <c r="D13" s="122"/>
      <c r="E13" s="119" t="s">
        <v>34</v>
      </c>
      <c r="F13" s="123"/>
      <c r="G13" s="123">
        <v>8998</v>
      </c>
      <c r="H13" s="123">
        <f>+H12+F13-G13</f>
        <v>39002</v>
      </c>
      <c r="I13" s="116"/>
    </row>
    <row r="14" spans="1:9" x14ac:dyDescent="0.25">
      <c r="A14" s="118">
        <v>4</v>
      </c>
      <c r="B14" s="121"/>
      <c r="C14" s="126" t="s">
        <v>77</v>
      </c>
      <c r="D14" s="122"/>
      <c r="E14" s="119" t="s">
        <v>88</v>
      </c>
      <c r="F14" s="124"/>
      <c r="G14" s="124">
        <v>6152.46</v>
      </c>
      <c r="H14" s="123">
        <f>+H13+F14-G14</f>
        <v>32849.54</v>
      </c>
      <c r="I14" s="124"/>
    </row>
    <row r="15" spans="1:9" x14ac:dyDescent="0.25">
      <c r="A15" s="118"/>
      <c r="B15" s="121"/>
      <c r="C15" s="129"/>
      <c r="D15" s="122"/>
      <c r="E15" s="119"/>
      <c r="F15" s="124"/>
      <c r="G15" s="124"/>
      <c r="H15" s="123"/>
      <c r="I15" s="124"/>
    </row>
    <row r="16" spans="1:9" x14ac:dyDescent="0.25">
      <c r="A16" s="118">
        <v>5</v>
      </c>
      <c r="B16" s="121"/>
      <c r="C16" s="129" t="s">
        <v>78</v>
      </c>
      <c r="D16" s="122"/>
      <c r="E16" s="119" t="s">
        <v>88</v>
      </c>
      <c r="F16" s="124"/>
      <c r="G16" s="124">
        <v>6685.72</v>
      </c>
      <c r="H16" s="123">
        <f>+H14+F16-G16</f>
        <v>26163.82</v>
      </c>
      <c r="I16" s="124"/>
    </row>
    <row r="17" spans="1:9" x14ac:dyDescent="0.25">
      <c r="A17" s="118">
        <v>6</v>
      </c>
      <c r="B17" s="121"/>
      <c r="C17" s="126" t="s">
        <v>79</v>
      </c>
      <c r="D17" s="122"/>
      <c r="E17" s="119" t="s">
        <v>100</v>
      </c>
      <c r="F17" s="124"/>
      <c r="G17" s="124">
        <v>4155</v>
      </c>
      <c r="H17" s="123">
        <f t="shared" ref="H17:H40" si="0">+H16+F17-G17</f>
        <v>22008.82</v>
      </c>
      <c r="I17" s="124"/>
    </row>
    <row r="18" spans="1:9" x14ac:dyDescent="0.25">
      <c r="A18" s="118">
        <v>7</v>
      </c>
      <c r="B18" s="121"/>
      <c r="C18" s="126" t="s">
        <v>80</v>
      </c>
      <c r="D18" s="122"/>
      <c r="E18" s="119" t="s">
        <v>86</v>
      </c>
      <c r="F18" s="124"/>
      <c r="G18" s="124">
        <v>300</v>
      </c>
      <c r="H18" s="123">
        <f t="shared" si="0"/>
        <v>21708.82</v>
      </c>
      <c r="I18" s="124"/>
    </row>
    <row r="19" spans="1:9" x14ac:dyDescent="0.25">
      <c r="A19" s="118">
        <v>8</v>
      </c>
      <c r="B19" s="121"/>
      <c r="C19" s="126" t="s">
        <v>81</v>
      </c>
      <c r="D19" s="122"/>
      <c r="E19" s="119" t="s">
        <v>37</v>
      </c>
      <c r="F19" s="124"/>
      <c r="G19" s="128">
        <v>5750</v>
      </c>
      <c r="H19" s="123">
        <f t="shared" si="0"/>
        <v>15958.82</v>
      </c>
      <c r="I19" s="124"/>
    </row>
    <row r="20" spans="1:9" x14ac:dyDescent="0.25">
      <c r="A20" s="118">
        <v>9</v>
      </c>
      <c r="B20" s="121"/>
      <c r="C20" s="126" t="s">
        <v>35</v>
      </c>
      <c r="D20" s="122"/>
      <c r="E20" s="119" t="s">
        <v>87</v>
      </c>
      <c r="F20" s="124"/>
      <c r="G20" s="128">
        <v>1470</v>
      </c>
      <c r="H20" s="123">
        <f t="shared" si="0"/>
        <v>14488.82</v>
      </c>
      <c r="I20" s="124"/>
    </row>
    <row r="21" spans="1:9" x14ac:dyDescent="0.25">
      <c r="A21" s="118">
        <v>10</v>
      </c>
      <c r="B21" s="121"/>
      <c r="C21" s="126" t="s">
        <v>77</v>
      </c>
      <c r="D21" s="122"/>
      <c r="E21" s="119" t="s">
        <v>88</v>
      </c>
      <c r="F21" s="124"/>
      <c r="G21" s="128">
        <v>3957.33</v>
      </c>
      <c r="H21" s="123">
        <f t="shared" si="0"/>
        <v>10531.49</v>
      </c>
      <c r="I21" s="124"/>
    </row>
    <row r="22" spans="1:9" x14ac:dyDescent="0.25">
      <c r="A22" s="118">
        <v>11</v>
      </c>
      <c r="B22" s="121"/>
      <c r="C22" s="126" t="s">
        <v>98</v>
      </c>
      <c r="D22" s="122"/>
      <c r="E22" s="139" t="s">
        <v>99</v>
      </c>
      <c r="F22" s="124"/>
      <c r="G22" s="128">
        <v>260</v>
      </c>
      <c r="H22" s="123">
        <f t="shared" si="0"/>
        <v>10271.49</v>
      </c>
      <c r="I22" s="124"/>
    </row>
    <row r="23" spans="1:9" x14ac:dyDescent="0.25">
      <c r="A23" s="118">
        <v>12</v>
      </c>
      <c r="B23" s="121"/>
      <c r="C23" s="126" t="s">
        <v>77</v>
      </c>
      <c r="D23" s="122"/>
      <c r="E23" s="119" t="s">
        <v>83</v>
      </c>
      <c r="F23" s="124"/>
      <c r="G23" s="128">
        <v>8375.08</v>
      </c>
      <c r="H23" s="123">
        <f t="shared" si="0"/>
        <v>1896.4099999999999</v>
      </c>
      <c r="I23" s="124"/>
    </row>
    <row r="24" spans="1:9" x14ac:dyDescent="0.25">
      <c r="A24" s="118">
        <v>13</v>
      </c>
      <c r="B24" s="121"/>
      <c r="C24" s="125" t="s">
        <v>85</v>
      </c>
      <c r="D24" s="122"/>
      <c r="E24" s="119" t="s">
        <v>100</v>
      </c>
      <c r="F24" s="124"/>
      <c r="G24" s="128">
        <v>1226</v>
      </c>
      <c r="H24" s="123">
        <f t="shared" si="0"/>
        <v>670.40999999999985</v>
      </c>
      <c r="I24" s="124"/>
    </row>
    <row r="25" spans="1:9" x14ac:dyDescent="0.25">
      <c r="A25" s="118">
        <v>14</v>
      </c>
      <c r="B25" s="121"/>
      <c r="C25" s="125" t="s">
        <v>90</v>
      </c>
      <c r="D25" s="122"/>
      <c r="E25" s="119" t="s">
        <v>97</v>
      </c>
      <c r="F25" s="124"/>
      <c r="G25" s="128">
        <v>150</v>
      </c>
      <c r="H25" s="123">
        <f t="shared" si="0"/>
        <v>520.40999999999985</v>
      </c>
      <c r="I25" s="124"/>
    </row>
    <row r="26" spans="1:9" x14ac:dyDescent="0.25">
      <c r="A26" s="118">
        <v>15</v>
      </c>
      <c r="B26" s="121"/>
      <c r="C26" s="117" t="s">
        <v>33</v>
      </c>
      <c r="D26" s="140"/>
      <c r="E26" s="141"/>
      <c r="F26" s="142">
        <v>15000</v>
      </c>
      <c r="G26" s="143"/>
      <c r="H26" s="144">
        <f t="shared" si="0"/>
        <v>15520.41</v>
      </c>
      <c r="I26" s="124"/>
    </row>
    <row r="27" spans="1:9" x14ac:dyDescent="0.25">
      <c r="A27" s="118">
        <v>16</v>
      </c>
      <c r="B27" s="121"/>
      <c r="C27" s="125" t="s">
        <v>91</v>
      </c>
      <c r="D27" s="122"/>
      <c r="E27" s="119" t="s">
        <v>96</v>
      </c>
      <c r="F27" s="124"/>
      <c r="G27" s="128">
        <v>5924.64</v>
      </c>
      <c r="H27" s="123">
        <f t="shared" si="0"/>
        <v>9595.77</v>
      </c>
      <c r="I27" s="124"/>
    </row>
    <row r="28" spans="1:9" x14ac:dyDescent="0.25">
      <c r="A28" s="118">
        <v>17</v>
      </c>
      <c r="B28" s="121"/>
      <c r="C28" s="126" t="s">
        <v>92</v>
      </c>
      <c r="D28" s="122"/>
      <c r="E28" s="119" t="s">
        <v>95</v>
      </c>
      <c r="F28" s="124"/>
      <c r="G28" s="124">
        <v>2000</v>
      </c>
      <c r="H28" s="123">
        <f t="shared" si="0"/>
        <v>7595.77</v>
      </c>
      <c r="I28" s="124"/>
    </row>
    <row r="29" spans="1:9" x14ac:dyDescent="0.25">
      <c r="A29" s="118">
        <v>18</v>
      </c>
      <c r="B29" s="121"/>
      <c r="C29" s="125" t="s">
        <v>93</v>
      </c>
      <c r="D29" s="122"/>
      <c r="E29" s="119" t="s">
        <v>94</v>
      </c>
      <c r="F29" s="124"/>
      <c r="G29" s="128">
        <v>435</v>
      </c>
      <c r="H29" s="123">
        <f t="shared" si="0"/>
        <v>7160.77</v>
      </c>
      <c r="I29" s="124"/>
    </row>
    <row r="30" spans="1:9" x14ac:dyDescent="0.25">
      <c r="A30" s="118">
        <v>19</v>
      </c>
      <c r="B30" s="121"/>
      <c r="C30" s="117" t="s">
        <v>33</v>
      </c>
      <c r="D30" s="140"/>
      <c r="E30" s="141"/>
      <c r="F30" s="142">
        <v>45000</v>
      </c>
      <c r="G30" s="143"/>
      <c r="H30" s="144">
        <f t="shared" si="0"/>
        <v>52160.770000000004</v>
      </c>
      <c r="I30" s="124"/>
    </row>
    <row r="31" spans="1:9" x14ac:dyDescent="0.25">
      <c r="A31" s="118">
        <v>20</v>
      </c>
      <c r="B31" s="121"/>
      <c r="C31" s="126" t="s">
        <v>91</v>
      </c>
      <c r="D31" s="122"/>
      <c r="E31" s="119"/>
      <c r="F31" s="124"/>
      <c r="G31" s="124">
        <v>30101.68</v>
      </c>
      <c r="H31" s="123">
        <f t="shared" si="0"/>
        <v>22059.090000000004</v>
      </c>
      <c r="I31" s="124"/>
    </row>
    <row r="32" spans="1:9" x14ac:dyDescent="0.25">
      <c r="A32" s="118">
        <v>21</v>
      </c>
      <c r="B32" s="121"/>
      <c r="C32" s="125" t="s">
        <v>125</v>
      </c>
      <c r="D32" s="122"/>
      <c r="E32" s="119" t="s">
        <v>100</v>
      </c>
      <c r="F32" s="124"/>
      <c r="G32" s="128">
        <v>5950</v>
      </c>
      <c r="H32" s="123">
        <f t="shared" si="0"/>
        <v>16109.090000000004</v>
      </c>
      <c r="I32" s="124"/>
    </row>
    <row r="33" spans="1:9" x14ac:dyDescent="0.25">
      <c r="A33" s="118">
        <v>22</v>
      </c>
      <c r="B33" s="121"/>
      <c r="C33" s="125" t="s">
        <v>126</v>
      </c>
      <c r="D33" s="122"/>
      <c r="E33" s="119" t="s">
        <v>44</v>
      </c>
      <c r="F33" s="124"/>
      <c r="G33" s="128">
        <v>10000</v>
      </c>
      <c r="H33" s="123">
        <f t="shared" si="0"/>
        <v>6109.0900000000038</v>
      </c>
      <c r="I33" s="124" t="s">
        <v>127</v>
      </c>
    </row>
    <row r="34" spans="1:9" x14ac:dyDescent="0.25">
      <c r="A34" s="118">
        <v>23</v>
      </c>
      <c r="B34" s="121"/>
      <c r="C34" s="127" t="s">
        <v>128</v>
      </c>
      <c r="D34" s="122"/>
      <c r="E34" s="119"/>
      <c r="F34" s="124"/>
      <c r="G34" s="124">
        <v>300</v>
      </c>
      <c r="H34" s="123">
        <f t="shared" si="0"/>
        <v>5809.0900000000038</v>
      </c>
      <c r="I34" s="124"/>
    </row>
    <row r="35" spans="1:9" x14ac:dyDescent="0.25">
      <c r="A35" s="118">
        <v>24</v>
      </c>
      <c r="B35" s="121"/>
      <c r="C35" s="126" t="s">
        <v>129</v>
      </c>
      <c r="D35" s="122"/>
      <c r="E35" s="119" t="s">
        <v>44</v>
      </c>
      <c r="F35" s="124"/>
      <c r="G35" s="124">
        <v>4005</v>
      </c>
      <c r="H35" s="123">
        <f t="shared" si="0"/>
        <v>1804.0900000000038</v>
      </c>
      <c r="I35" s="124"/>
    </row>
    <row r="36" spans="1:9" x14ac:dyDescent="0.25">
      <c r="A36" s="118">
        <v>25</v>
      </c>
      <c r="B36" s="121"/>
      <c r="C36" s="125" t="s">
        <v>130</v>
      </c>
      <c r="D36" s="122"/>
      <c r="E36" s="119" t="s">
        <v>44</v>
      </c>
      <c r="F36" s="124"/>
      <c r="G36" s="128">
        <v>390</v>
      </c>
      <c r="H36" s="123">
        <f t="shared" si="0"/>
        <v>1414.0900000000038</v>
      </c>
      <c r="I36" s="124"/>
    </row>
    <row r="37" spans="1:9" x14ac:dyDescent="0.25">
      <c r="A37" s="118">
        <v>26</v>
      </c>
      <c r="B37" s="121"/>
      <c r="C37" s="125" t="s">
        <v>131</v>
      </c>
      <c r="D37" s="122"/>
      <c r="E37" s="119" t="s">
        <v>44</v>
      </c>
      <c r="F37" s="124"/>
      <c r="G37" s="128">
        <v>500</v>
      </c>
      <c r="H37" s="123">
        <f t="shared" si="0"/>
        <v>914.09000000000378</v>
      </c>
      <c r="I37" s="124"/>
    </row>
    <row r="38" spans="1:9" x14ac:dyDescent="0.25">
      <c r="A38" s="118">
        <v>27</v>
      </c>
      <c r="B38" s="121"/>
      <c r="C38" s="125" t="s">
        <v>132</v>
      </c>
      <c r="D38" s="122"/>
      <c r="E38" s="119"/>
      <c r="F38" s="124"/>
      <c r="G38" s="128">
        <v>30.09</v>
      </c>
      <c r="H38" s="123">
        <f t="shared" si="0"/>
        <v>884.00000000000375</v>
      </c>
      <c r="I38" s="124"/>
    </row>
    <row r="39" spans="1:9" x14ac:dyDescent="0.25">
      <c r="A39" s="118">
        <v>28</v>
      </c>
      <c r="B39" s="121"/>
      <c r="C39" s="141" t="s">
        <v>227</v>
      </c>
      <c r="D39" s="122"/>
      <c r="E39" s="141"/>
      <c r="F39" s="142"/>
      <c r="G39" s="142">
        <v>384</v>
      </c>
      <c r="H39" s="144">
        <f t="shared" si="0"/>
        <v>500.00000000000375</v>
      </c>
      <c r="I39" s="124"/>
    </row>
    <row r="40" spans="1:9" x14ac:dyDescent="0.25">
      <c r="A40" s="118">
        <v>29</v>
      </c>
      <c r="B40" s="121"/>
      <c r="C40" s="119" t="s">
        <v>228</v>
      </c>
      <c r="D40" s="122"/>
      <c r="E40" s="119"/>
      <c r="F40" s="124"/>
      <c r="G40" s="124"/>
      <c r="H40" s="123">
        <f t="shared" si="0"/>
        <v>500.00000000000375</v>
      </c>
      <c r="I40" s="124"/>
    </row>
  </sheetData>
  <mergeCells count="2">
    <mergeCell ref="A5:I5"/>
    <mergeCell ref="A8:I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Z97"/>
  <sheetViews>
    <sheetView zoomScale="92" zoomScaleNormal="130" workbookViewId="0">
      <selection activeCell="C23" sqref="C23"/>
    </sheetView>
  </sheetViews>
  <sheetFormatPr defaultColWidth="9.140625" defaultRowHeight="15" x14ac:dyDescent="0.25"/>
  <cols>
    <col min="1" max="1" width="5" style="1" customWidth="1"/>
    <col min="2" max="2" width="13.7109375" style="1" customWidth="1"/>
    <col min="3" max="3" width="64.42578125" style="1" bestFit="1" customWidth="1"/>
    <col min="4" max="4" width="16.28515625" style="1" bestFit="1" customWidth="1"/>
    <col min="5" max="5" width="16.85546875" style="1" bestFit="1" customWidth="1"/>
    <col min="6" max="6" width="18.7109375" style="1" bestFit="1" customWidth="1"/>
    <col min="7" max="7" width="48" style="1" bestFit="1" customWidth="1"/>
    <col min="8" max="16384" width="9.140625" style="1"/>
  </cols>
  <sheetData>
    <row r="1" spans="1:104" s="4" customFormat="1" x14ac:dyDescent="0.25">
      <c r="A1" s="4" t="str">
        <f>+Acess!A1</f>
        <v>Empresa: Mozambique Support Services, Lda</v>
      </c>
    </row>
    <row r="2" spans="1:104" x14ac:dyDescent="0.25">
      <c r="A2" s="4" t="str">
        <f>+Acess!A2</f>
        <v xml:space="preserve">Nuit: </v>
      </c>
    </row>
    <row r="3" spans="1:104" x14ac:dyDescent="0.25">
      <c r="A3" s="4" t="str">
        <f>+Acess!A3</f>
        <v xml:space="preserve">Periodo: </v>
      </c>
    </row>
    <row r="5" spans="1:104" s="4" customFormat="1" ht="15.75" thickBot="1" x14ac:dyDescent="0.3">
      <c r="A5" s="298" t="s">
        <v>17</v>
      </c>
      <c r="B5" s="298"/>
      <c r="C5" s="298"/>
      <c r="D5" s="298"/>
      <c r="E5" s="298"/>
      <c r="F5" s="298"/>
      <c r="G5" s="298"/>
    </row>
    <row r="6" spans="1:104" ht="15.75" thickTop="1" x14ac:dyDescent="0.25"/>
    <row r="7" spans="1:104" x14ac:dyDescent="0.25">
      <c r="A7" s="4" t="s">
        <v>18</v>
      </c>
    </row>
    <row r="8" spans="1:104" ht="15.75" thickBot="1" x14ac:dyDescent="0.3">
      <c r="A8" s="308" t="s">
        <v>19</v>
      </c>
      <c r="B8" s="308"/>
      <c r="C8" s="308"/>
      <c r="D8" s="308"/>
      <c r="E8" s="308"/>
      <c r="F8" s="308"/>
      <c r="G8" s="308"/>
    </row>
    <row r="9" spans="1:104" s="309" customFormat="1" ht="16.5" thickTop="1" thickBot="1" x14ac:dyDescent="0.3"/>
    <row r="10" spans="1:104" s="4" customFormat="1" ht="27.75" customHeight="1" thickBot="1" x14ac:dyDescent="0.3">
      <c r="A10" s="25" t="s">
        <v>0</v>
      </c>
      <c r="B10" s="26" t="s">
        <v>1</v>
      </c>
      <c r="C10" s="26" t="s">
        <v>2</v>
      </c>
      <c r="D10" s="26" t="s">
        <v>7</v>
      </c>
      <c r="E10" s="27" t="s">
        <v>8</v>
      </c>
      <c r="F10" s="24" t="s">
        <v>9</v>
      </c>
      <c r="G10" s="24" t="s">
        <v>3</v>
      </c>
    </row>
    <row r="11" spans="1:104" s="3" customFormat="1" ht="14.25" customHeight="1" x14ac:dyDescent="0.25">
      <c r="A11" s="32"/>
      <c r="B11" s="16"/>
      <c r="C11" s="16"/>
      <c r="D11" s="16"/>
      <c r="E11" s="16"/>
      <c r="F11" s="16"/>
      <c r="G11" s="3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</row>
    <row r="12" spans="1:104" s="3" customFormat="1" ht="14.25" customHeight="1" x14ac:dyDescent="0.25">
      <c r="A12" s="32"/>
      <c r="B12" s="16"/>
      <c r="C12" s="16"/>
      <c r="D12" s="16"/>
      <c r="E12" s="16"/>
      <c r="F12" s="16"/>
      <c r="G12" s="3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</row>
    <row r="13" spans="1:104" s="3" customFormat="1" ht="14.25" customHeight="1" x14ac:dyDescent="0.25">
      <c r="A13" s="32">
        <v>1</v>
      </c>
      <c r="B13" s="37"/>
      <c r="C13" s="16"/>
      <c r="D13" s="38"/>
      <c r="E13" s="16"/>
      <c r="F13" s="38">
        <f>F12+D13-E13</f>
        <v>0</v>
      </c>
      <c r="G13" s="3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</row>
    <row r="14" spans="1:104" s="3" customFormat="1" ht="14.25" customHeight="1" x14ac:dyDescent="0.25">
      <c r="A14" s="32"/>
      <c r="B14" s="37"/>
      <c r="C14" s="16"/>
      <c r="D14" s="38"/>
      <c r="E14" s="16"/>
      <c r="F14" s="38">
        <f t="shared" ref="F14:F77" si="0">F13+D14-E14</f>
        <v>0</v>
      </c>
      <c r="G14" s="3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</row>
    <row r="15" spans="1:104" s="3" customFormat="1" ht="14.25" customHeight="1" x14ac:dyDescent="0.25">
      <c r="A15" s="32"/>
      <c r="B15" s="37"/>
      <c r="C15" s="16"/>
      <c r="D15" s="38"/>
      <c r="E15" s="16"/>
      <c r="F15" s="38">
        <f t="shared" si="0"/>
        <v>0</v>
      </c>
      <c r="G15" s="3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</row>
    <row r="16" spans="1:104" s="3" customFormat="1" ht="14.25" customHeight="1" x14ac:dyDescent="0.25">
      <c r="A16" s="32"/>
      <c r="B16" s="37"/>
      <c r="C16" s="16"/>
      <c r="D16" s="38"/>
      <c r="E16" s="16"/>
      <c r="F16" s="38">
        <f t="shared" si="0"/>
        <v>0</v>
      </c>
      <c r="G16" s="3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</row>
    <row r="17" spans="1:104" s="3" customFormat="1" ht="14.25" customHeight="1" x14ac:dyDescent="0.25">
      <c r="A17" s="32"/>
      <c r="B17" s="37"/>
      <c r="C17" s="16"/>
      <c r="D17" s="38"/>
      <c r="E17" s="16"/>
      <c r="F17" s="38">
        <f t="shared" si="0"/>
        <v>0</v>
      </c>
      <c r="G17" s="3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</row>
    <row r="18" spans="1:104" s="3" customFormat="1" ht="14.25" customHeight="1" x14ac:dyDescent="0.25">
      <c r="A18" s="32"/>
      <c r="B18" s="37"/>
      <c r="C18" s="16"/>
      <c r="D18" s="38"/>
      <c r="E18" s="16"/>
      <c r="F18" s="38">
        <f t="shared" si="0"/>
        <v>0</v>
      </c>
      <c r="G18" s="3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</row>
    <row r="19" spans="1:104" s="3" customFormat="1" ht="14.25" customHeight="1" x14ac:dyDescent="0.25">
      <c r="A19" s="32"/>
      <c r="B19" s="37"/>
      <c r="C19" s="16"/>
      <c r="D19" s="38"/>
      <c r="E19" s="16"/>
      <c r="F19" s="38">
        <f t="shared" si="0"/>
        <v>0</v>
      </c>
      <c r="G19" s="3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</row>
    <row r="20" spans="1:104" s="3" customFormat="1" ht="14.25" customHeight="1" x14ac:dyDescent="0.25">
      <c r="A20" s="32"/>
      <c r="B20" s="37"/>
      <c r="C20" s="16"/>
      <c r="D20" s="38"/>
      <c r="E20" s="16"/>
      <c r="F20" s="38">
        <f t="shared" si="0"/>
        <v>0</v>
      </c>
      <c r="G20" s="3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</row>
    <row r="21" spans="1:104" s="3" customFormat="1" ht="14.25" customHeight="1" x14ac:dyDescent="0.25">
      <c r="A21" s="32"/>
      <c r="B21" s="37"/>
      <c r="C21" s="16"/>
      <c r="D21" s="38"/>
      <c r="E21" s="16"/>
      <c r="F21" s="38">
        <f t="shared" si="0"/>
        <v>0</v>
      </c>
      <c r="G21" s="3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</row>
    <row r="22" spans="1:104" s="3" customFormat="1" ht="14.25" customHeight="1" x14ac:dyDescent="0.25">
      <c r="A22" s="32"/>
      <c r="B22" s="37"/>
      <c r="C22" s="16"/>
      <c r="D22" s="38"/>
      <c r="E22" s="16"/>
      <c r="F22" s="38">
        <f t="shared" si="0"/>
        <v>0</v>
      </c>
      <c r="G22" s="3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</row>
    <row r="23" spans="1:104" s="3" customFormat="1" ht="14.25" customHeight="1" x14ac:dyDescent="0.25">
      <c r="A23" s="32"/>
      <c r="B23" s="37"/>
      <c r="C23" s="16"/>
      <c r="D23" s="38"/>
      <c r="E23" s="16"/>
      <c r="F23" s="38">
        <f t="shared" si="0"/>
        <v>0</v>
      </c>
      <c r="G23" s="3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</row>
    <row r="24" spans="1:104" s="3" customFormat="1" ht="14.25" customHeight="1" x14ac:dyDescent="0.25">
      <c r="A24" s="32"/>
      <c r="B24" s="37"/>
      <c r="C24" s="16"/>
      <c r="D24" s="38"/>
      <c r="E24" s="16"/>
      <c r="F24" s="38">
        <f t="shared" si="0"/>
        <v>0</v>
      </c>
      <c r="G24" s="3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</row>
    <row r="25" spans="1:104" s="3" customFormat="1" ht="14.25" customHeight="1" x14ac:dyDescent="0.25">
      <c r="A25" s="32"/>
      <c r="B25" s="37"/>
      <c r="C25" s="16"/>
      <c r="D25" s="38"/>
      <c r="E25" s="16"/>
      <c r="F25" s="38">
        <f t="shared" si="0"/>
        <v>0</v>
      </c>
      <c r="G25" s="3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</row>
    <row r="26" spans="1:104" s="3" customFormat="1" ht="14.25" customHeight="1" x14ac:dyDescent="0.25">
      <c r="A26" s="32"/>
      <c r="B26" s="37"/>
      <c r="C26" s="16"/>
      <c r="D26" s="38"/>
      <c r="E26" s="16"/>
      <c r="F26" s="38">
        <f t="shared" si="0"/>
        <v>0</v>
      </c>
      <c r="G26" s="3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</row>
    <row r="27" spans="1:104" s="3" customFormat="1" ht="14.25" customHeight="1" x14ac:dyDescent="0.25">
      <c r="A27" s="32"/>
      <c r="B27" s="37"/>
      <c r="C27" s="16"/>
      <c r="D27" s="38"/>
      <c r="E27" s="16"/>
      <c r="F27" s="38">
        <f t="shared" si="0"/>
        <v>0</v>
      </c>
      <c r="G27" s="3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</row>
    <row r="28" spans="1:104" s="3" customFormat="1" ht="14.25" customHeight="1" x14ac:dyDescent="0.25">
      <c r="A28" s="32"/>
      <c r="B28" s="37"/>
      <c r="C28" s="16"/>
      <c r="D28" s="38"/>
      <c r="E28" s="16"/>
      <c r="F28" s="38">
        <f t="shared" si="0"/>
        <v>0</v>
      </c>
      <c r="G28" s="3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</row>
    <row r="29" spans="1:104" s="3" customFormat="1" ht="14.25" customHeight="1" x14ac:dyDescent="0.25">
      <c r="A29" s="32"/>
      <c r="B29" s="37"/>
      <c r="C29" s="16"/>
      <c r="D29" s="38"/>
      <c r="E29" s="16"/>
      <c r="F29" s="38">
        <f t="shared" si="0"/>
        <v>0</v>
      </c>
      <c r="G29" s="3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</row>
    <row r="30" spans="1:104" s="3" customFormat="1" ht="14.25" customHeight="1" x14ac:dyDescent="0.25">
      <c r="A30" s="32"/>
      <c r="B30" s="37"/>
      <c r="C30" s="16"/>
      <c r="D30" s="38"/>
      <c r="E30" s="16"/>
      <c r="F30" s="38">
        <f t="shared" si="0"/>
        <v>0</v>
      </c>
      <c r="G30" s="3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</row>
    <row r="31" spans="1:104" s="3" customFormat="1" ht="14.25" customHeight="1" x14ac:dyDescent="0.25">
      <c r="A31" s="32"/>
      <c r="B31" s="37"/>
      <c r="C31" s="16"/>
      <c r="D31" s="38"/>
      <c r="E31" s="16"/>
      <c r="F31" s="38">
        <f t="shared" si="0"/>
        <v>0</v>
      </c>
      <c r="G31" s="3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</row>
    <row r="32" spans="1:104" s="3" customFormat="1" ht="14.25" customHeight="1" x14ac:dyDescent="0.25">
      <c r="A32" s="32"/>
      <c r="B32" s="37"/>
      <c r="C32" s="16"/>
      <c r="D32" s="38"/>
      <c r="E32" s="16"/>
      <c r="F32" s="38">
        <f t="shared" si="0"/>
        <v>0</v>
      </c>
      <c r="G32" s="3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</row>
    <row r="33" spans="1:104" s="3" customFormat="1" ht="14.25" customHeight="1" x14ac:dyDescent="0.25">
      <c r="A33" s="32"/>
      <c r="B33" s="37"/>
      <c r="C33" s="16"/>
      <c r="D33" s="38"/>
      <c r="E33" s="16"/>
      <c r="F33" s="38">
        <f t="shared" si="0"/>
        <v>0</v>
      </c>
      <c r="G33" s="3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</row>
    <row r="34" spans="1:104" s="3" customFormat="1" ht="14.25" customHeight="1" x14ac:dyDescent="0.25">
      <c r="A34" s="32"/>
      <c r="B34" s="37"/>
      <c r="C34" s="16"/>
      <c r="D34" s="38"/>
      <c r="E34" s="16"/>
      <c r="F34" s="38">
        <f t="shared" si="0"/>
        <v>0</v>
      </c>
      <c r="G34" s="3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</row>
    <row r="35" spans="1:104" s="3" customFormat="1" ht="14.25" customHeight="1" x14ac:dyDescent="0.25">
      <c r="A35" s="32"/>
      <c r="B35" s="37"/>
      <c r="C35" s="16"/>
      <c r="D35" s="38"/>
      <c r="E35" s="16"/>
      <c r="F35" s="38">
        <f t="shared" si="0"/>
        <v>0</v>
      </c>
      <c r="G35" s="3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</row>
    <row r="36" spans="1:104" s="3" customFormat="1" ht="14.25" customHeight="1" x14ac:dyDescent="0.25">
      <c r="A36" s="32"/>
      <c r="B36" s="37"/>
      <c r="C36" s="16"/>
      <c r="D36" s="38"/>
      <c r="E36" s="16"/>
      <c r="F36" s="38">
        <f t="shared" si="0"/>
        <v>0</v>
      </c>
      <c r="G36" s="3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</row>
    <row r="37" spans="1:104" s="3" customFormat="1" ht="14.25" customHeight="1" x14ac:dyDescent="0.25">
      <c r="A37" s="32"/>
      <c r="B37" s="37"/>
      <c r="C37" s="16"/>
      <c r="D37" s="38"/>
      <c r="E37" s="16"/>
      <c r="F37" s="38">
        <f t="shared" si="0"/>
        <v>0</v>
      </c>
      <c r="G37" s="3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</row>
    <row r="38" spans="1:104" s="3" customFormat="1" ht="14.25" customHeight="1" x14ac:dyDescent="0.25">
      <c r="A38" s="32"/>
      <c r="B38" s="37"/>
      <c r="C38" s="16"/>
      <c r="D38" s="38"/>
      <c r="E38" s="16"/>
      <c r="F38" s="38">
        <f t="shared" si="0"/>
        <v>0</v>
      </c>
      <c r="G38" s="3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</row>
    <row r="39" spans="1:104" s="3" customFormat="1" ht="14.25" customHeight="1" x14ac:dyDescent="0.25">
      <c r="A39" s="32"/>
      <c r="B39" s="37"/>
      <c r="C39" s="16"/>
      <c r="D39" s="38"/>
      <c r="E39" s="16"/>
      <c r="F39" s="38">
        <f t="shared" si="0"/>
        <v>0</v>
      </c>
      <c r="G39" s="3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</row>
    <row r="40" spans="1:104" s="3" customFormat="1" ht="14.25" customHeight="1" x14ac:dyDescent="0.25">
      <c r="A40" s="32"/>
      <c r="B40" s="37"/>
      <c r="C40" s="16"/>
      <c r="D40" s="38"/>
      <c r="E40" s="16"/>
      <c r="F40" s="38">
        <f t="shared" si="0"/>
        <v>0</v>
      </c>
      <c r="G40" s="3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</row>
    <row r="41" spans="1:104" s="3" customFormat="1" ht="14.25" customHeight="1" x14ac:dyDescent="0.25">
      <c r="A41" s="32"/>
      <c r="B41" s="37"/>
      <c r="C41" s="16"/>
      <c r="D41" s="38"/>
      <c r="E41" s="16"/>
      <c r="F41" s="38">
        <f t="shared" si="0"/>
        <v>0</v>
      </c>
      <c r="G41" s="3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</row>
    <row r="42" spans="1:104" s="3" customFormat="1" ht="14.25" customHeight="1" x14ac:dyDescent="0.25">
      <c r="A42" s="32"/>
      <c r="B42" s="37"/>
      <c r="C42" s="16"/>
      <c r="D42" s="38"/>
      <c r="E42" s="16"/>
      <c r="F42" s="38">
        <f t="shared" si="0"/>
        <v>0</v>
      </c>
      <c r="G42" s="3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</row>
    <row r="43" spans="1:104" s="3" customFormat="1" ht="14.25" customHeight="1" x14ac:dyDescent="0.25">
      <c r="A43" s="32"/>
      <c r="B43" s="37"/>
      <c r="C43" s="16"/>
      <c r="D43" s="38"/>
      <c r="E43" s="16"/>
      <c r="F43" s="38">
        <f t="shared" si="0"/>
        <v>0</v>
      </c>
      <c r="G43" s="3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</row>
    <row r="44" spans="1:104" s="3" customFormat="1" ht="14.25" customHeight="1" x14ac:dyDescent="0.25">
      <c r="A44" s="32"/>
      <c r="B44" s="37"/>
      <c r="C44" s="16"/>
      <c r="D44" s="38"/>
      <c r="E44" s="16"/>
      <c r="F44" s="38">
        <f t="shared" si="0"/>
        <v>0</v>
      </c>
      <c r="G44" s="3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</row>
    <row r="45" spans="1:104" s="3" customFormat="1" ht="14.25" customHeight="1" x14ac:dyDescent="0.25">
      <c r="A45" s="32"/>
      <c r="B45" s="37"/>
      <c r="C45" s="16"/>
      <c r="D45" s="38"/>
      <c r="E45" s="16"/>
      <c r="F45" s="38">
        <f t="shared" si="0"/>
        <v>0</v>
      </c>
      <c r="G45" s="3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</row>
    <row r="46" spans="1:104" s="3" customFormat="1" ht="14.25" customHeight="1" x14ac:dyDescent="0.25">
      <c r="A46" s="32"/>
      <c r="B46" s="37"/>
      <c r="C46" s="16"/>
      <c r="D46" s="38"/>
      <c r="E46" s="16"/>
      <c r="F46" s="38">
        <f t="shared" si="0"/>
        <v>0</v>
      </c>
      <c r="G46" s="3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</row>
    <row r="47" spans="1:104" s="3" customFormat="1" ht="14.25" customHeight="1" x14ac:dyDescent="0.25">
      <c r="A47" s="32"/>
      <c r="B47" s="37"/>
      <c r="C47" s="16"/>
      <c r="D47" s="38"/>
      <c r="E47" s="16"/>
      <c r="F47" s="38">
        <f t="shared" si="0"/>
        <v>0</v>
      </c>
      <c r="G47" s="3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</row>
    <row r="48" spans="1:104" s="3" customFormat="1" ht="14.25" customHeight="1" x14ac:dyDescent="0.25">
      <c r="A48" s="32"/>
      <c r="B48" s="37"/>
      <c r="C48" s="16"/>
      <c r="D48" s="38"/>
      <c r="E48" s="16"/>
      <c r="F48" s="38">
        <f t="shared" si="0"/>
        <v>0</v>
      </c>
      <c r="G48" s="3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</row>
    <row r="49" spans="1:104" s="3" customFormat="1" ht="14.25" customHeight="1" x14ac:dyDescent="0.25">
      <c r="A49" s="32"/>
      <c r="B49" s="37"/>
      <c r="C49" s="16"/>
      <c r="D49" s="38"/>
      <c r="E49" s="16"/>
      <c r="F49" s="38">
        <f t="shared" si="0"/>
        <v>0</v>
      </c>
      <c r="G49" s="3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</row>
    <row r="50" spans="1:104" s="3" customFormat="1" ht="14.25" customHeight="1" x14ac:dyDescent="0.25">
      <c r="A50" s="32"/>
      <c r="B50" s="37"/>
      <c r="C50" s="16"/>
      <c r="D50" s="38"/>
      <c r="E50" s="16"/>
      <c r="F50" s="38">
        <f t="shared" si="0"/>
        <v>0</v>
      </c>
      <c r="G50" s="3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</row>
    <row r="51" spans="1:104" s="3" customFormat="1" ht="14.25" customHeight="1" x14ac:dyDescent="0.25">
      <c r="A51" s="32"/>
      <c r="B51" s="37"/>
      <c r="C51" s="16"/>
      <c r="D51" s="38"/>
      <c r="E51" s="16"/>
      <c r="F51" s="38">
        <f t="shared" si="0"/>
        <v>0</v>
      </c>
      <c r="G51" s="3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</row>
    <row r="52" spans="1:104" s="3" customFormat="1" ht="14.25" customHeight="1" x14ac:dyDescent="0.25">
      <c r="A52" s="32"/>
      <c r="B52" s="37"/>
      <c r="C52" s="16"/>
      <c r="D52" s="38"/>
      <c r="E52" s="16"/>
      <c r="F52" s="38">
        <f t="shared" si="0"/>
        <v>0</v>
      </c>
      <c r="G52" s="3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</row>
    <row r="53" spans="1:104" s="3" customFormat="1" ht="14.25" customHeight="1" x14ac:dyDescent="0.25">
      <c r="A53" s="32"/>
      <c r="B53" s="37"/>
      <c r="C53" s="16"/>
      <c r="D53" s="38"/>
      <c r="E53" s="16"/>
      <c r="F53" s="38">
        <f t="shared" si="0"/>
        <v>0</v>
      </c>
      <c r="G53" s="3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</row>
    <row r="54" spans="1:104" s="3" customFormat="1" ht="14.25" customHeight="1" x14ac:dyDescent="0.25">
      <c r="A54" s="32"/>
      <c r="B54" s="37"/>
      <c r="C54" s="16"/>
      <c r="D54" s="38"/>
      <c r="E54" s="16"/>
      <c r="F54" s="38">
        <f t="shared" si="0"/>
        <v>0</v>
      </c>
      <c r="G54" s="3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</row>
    <row r="55" spans="1:104" s="3" customFormat="1" ht="14.25" customHeight="1" x14ac:dyDescent="0.25">
      <c r="A55" s="32"/>
      <c r="B55" s="37"/>
      <c r="C55" s="16"/>
      <c r="D55" s="38"/>
      <c r="E55" s="16"/>
      <c r="F55" s="38">
        <f t="shared" si="0"/>
        <v>0</v>
      </c>
      <c r="G55" s="3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</row>
    <row r="56" spans="1:104" s="3" customFormat="1" ht="14.25" customHeight="1" x14ac:dyDescent="0.25">
      <c r="A56" s="32"/>
      <c r="B56" s="37"/>
      <c r="C56" s="16"/>
      <c r="D56" s="38"/>
      <c r="E56" s="16"/>
      <c r="F56" s="38">
        <f t="shared" si="0"/>
        <v>0</v>
      </c>
      <c r="G56" s="3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</row>
    <row r="57" spans="1:104" s="3" customFormat="1" ht="14.25" customHeight="1" x14ac:dyDescent="0.25">
      <c r="A57" s="32"/>
      <c r="B57" s="37"/>
      <c r="C57" s="16"/>
      <c r="D57" s="38"/>
      <c r="E57" s="16"/>
      <c r="F57" s="38">
        <f t="shared" si="0"/>
        <v>0</v>
      </c>
      <c r="G57" s="3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</row>
    <row r="58" spans="1:104" s="3" customFormat="1" ht="14.25" customHeight="1" x14ac:dyDescent="0.25">
      <c r="A58" s="32"/>
      <c r="B58" s="37"/>
      <c r="C58" s="16"/>
      <c r="D58" s="38"/>
      <c r="E58" s="16"/>
      <c r="F58" s="38">
        <f t="shared" si="0"/>
        <v>0</v>
      </c>
      <c r="G58" s="3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</row>
    <row r="59" spans="1:104" s="3" customFormat="1" ht="14.25" customHeight="1" x14ac:dyDescent="0.25">
      <c r="A59" s="32"/>
      <c r="B59" s="37"/>
      <c r="C59" s="16"/>
      <c r="D59" s="38"/>
      <c r="E59" s="16"/>
      <c r="F59" s="38">
        <f t="shared" si="0"/>
        <v>0</v>
      </c>
      <c r="G59" s="3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</row>
    <row r="60" spans="1:104" s="3" customFormat="1" ht="14.25" customHeight="1" x14ac:dyDescent="0.25">
      <c r="A60" s="32"/>
      <c r="B60" s="37"/>
      <c r="C60" s="16"/>
      <c r="D60" s="38"/>
      <c r="E60" s="16"/>
      <c r="F60" s="38">
        <f t="shared" si="0"/>
        <v>0</v>
      </c>
      <c r="G60" s="3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</row>
    <row r="61" spans="1:104" s="3" customFormat="1" ht="14.25" customHeight="1" x14ac:dyDescent="0.25">
      <c r="A61" s="32"/>
      <c r="B61" s="37"/>
      <c r="C61" s="16"/>
      <c r="D61" s="38"/>
      <c r="E61" s="16"/>
      <c r="F61" s="38">
        <f t="shared" si="0"/>
        <v>0</v>
      </c>
      <c r="G61" s="3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</row>
    <row r="62" spans="1:104" s="3" customFormat="1" ht="14.25" customHeight="1" x14ac:dyDescent="0.25">
      <c r="A62" s="32"/>
      <c r="B62" s="37"/>
      <c r="C62" s="16"/>
      <c r="D62" s="38"/>
      <c r="E62" s="16"/>
      <c r="F62" s="38">
        <f t="shared" si="0"/>
        <v>0</v>
      </c>
      <c r="G62" s="3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</row>
    <row r="63" spans="1:104" s="3" customFormat="1" ht="14.25" customHeight="1" x14ac:dyDescent="0.25">
      <c r="A63" s="32"/>
      <c r="B63" s="37"/>
      <c r="C63" s="16"/>
      <c r="D63" s="38"/>
      <c r="E63" s="16"/>
      <c r="F63" s="38">
        <f t="shared" si="0"/>
        <v>0</v>
      </c>
      <c r="G63" s="3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</row>
    <row r="64" spans="1:104" s="3" customFormat="1" ht="14.25" customHeight="1" x14ac:dyDescent="0.25">
      <c r="A64" s="32"/>
      <c r="B64" s="37"/>
      <c r="C64" s="16"/>
      <c r="D64" s="38"/>
      <c r="E64" s="16"/>
      <c r="F64" s="38">
        <f t="shared" si="0"/>
        <v>0</v>
      </c>
      <c r="G64" s="3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</row>
    <row r="65" spans="1:104" s="3" customFormat="1" ht="14.25" customHeight="1" x14ac:dyDescent="0.25">
      <c r="A65" s="32"/>
      <c r="B65" s="37"/>
      <c r="C65" s="16"/>
      <c r="D65" s="38"/>
      <c r="E65" s="16"/>
      <c r="F65" s="38">
        <f t="shared" si="0"/>
        <v>0</v>
      </c>
      <c r="G65" s="3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</row>
    <row r="66" spans="1:104" s="3" customFormat="1" ht="14.25" customHeight="1" x14ac:dyDescent="0.25">
      <c r="A66" s="32"/>
      <c r="B66" s="37"/>
      <c r="C66" s="16"/>
      <c r="D66" s="38"/>
      <c r="E66" s="16"/>
      <c r="F66" s="38">
        <f t="shared" si="0"/>
        <v>0</v>
      </c>
      <c r="G66" s="3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</row>
    <row r="67" spans="1:104" s="3" customFormat="1" ht="14.25" customHeight="1" x14ac:dyDescent="0.25">
      <c r="A67" s="32"/>
      <c r="B67" s="37"/>
      <c r="C67" s="16"/>
      <c r="D67" s="38"/>
      <c r="E67" s="16"/>
      <c r="F67" s="38">
        <f t="shared" si="0"/>
        <v>0</v>
      </c>
      <c r="G67" s="3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</row>
    <row r="68" spans="1:104" s="3" customFormat="1" ht="14.25" customHeight="1" x14ac:dyDescent="0.25">
      <c r="A68" s="32"/>
      <c r="B68" s="37"/>
      <c r="C68" s="16"/>
      <c r="D68" s="38"/>
      <c r="E68" s="16"/>
      <c r="F68" s="38">
        <f t="shared" si="0"/>
        <v>0</v>
      </c>
      <c r="G68" s="3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</row>
    <row r="69" spans="1:104" s="3" customFormat="1" ht="14.25" customHeight="1" x14ac:dyDescent="0.25">
      <c r="A69" s="32"/>
      <c r="B69" s="37"/>
      <c r="C69" s="16"/>
      <c r="D69" s="38"/>
      <c r="E69" s="16"/>
      <c r="F69" s="38">
        <f t="shared" si="0"/>
        <v>0</v>
      </c>
      <c r="G69" s="3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</row>
    <row r="70" spans="1:104" s="3" customFormat="1" ht="14.25" customHeight="1" x14ac:dyDescent="0.25">
      <c r="A70" s="32"/>
      <c r="B70" s="37"/>
      <c r="C70" s="16"/>
      <c r="D70" s="38"/>
      <c r="E70" s="16"/>
      <c r="F70" s="38">
        <f t="shared" si="0"/>
        <v>0</v>
      </c>
      <c r="G70" s="3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</row>
    <row r="71" spans="1:104" s="3" customFormat="1" ht="14.25" customHeight="1" x14ac:dyDescent="0.25">
      <c r="A71" s="32"/>
      <c r="B71" s="37"/>
      <c r="C71" s="16"/>
      <c r="D71" s="38"/>
      <c r="E71" s="16"/>
      <c r="F71" s="38">
        <f t="shared" si="0"/>
        <v>0</v>
      </c>
      <c r="G71" s="3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</row>
    <row r="72" spans="1:104" s="3" customFormat="1" ht="14.25" customHeight="1" x14ac:dyDescent="0.25">
      <c r="A72" s="32"/>
      <c r="B72" s="37"/>
      <c r="C72" s="16"/>
      <c r="D72" s="38"/>
      <c r="E72" s="16"/>
      <c r="F72" s="38">
        <f t="shared" si="0"/>
        <v>0</v>
      </c>
      <c r="G72" s="3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</row>
    <row r="73" spans="1:104" s="3" customFormat="1" ht="14.25" customHeight="1" x14ac:dyDescent="0.25">
      <c r="A73" s="32"/>
      <c r="B73" s="37"/>
      <c r="C73" s="16"/>
      <c r="D73" s="38"/>
      <c r="E73" s="16"/>
      <c r="F73" s="38">
        <f t="shared" si="0"/>
        <v>0</v>
      </c>
      <c r="G73" s="3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</row>
    <row r="74" spans="1:104" s="3" customFormat="1" ht="14.25" customHeight="1" x14ac:dyDescent="0.25">
      <c r="A74" s="32"/>
      <c r="B74" s="37"/>
      <c r="C74" s="16"/>
      <c r="D74" s="38"/>
      <c r="E74" s="16"/>
      <c r="F74" s="38">
        <f t="shared" si="0"/>
        <v>0</v>
      </c>
      <c r="G74" s="3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</row>
    <row r="75" spans="1:104" s="3" customFormat="1" ht="14.25" customHeight="1" x14ac:dyDescent="0.25">
      <c r="A75" s="32"/>
      <c r="B75" s="37"/>
      <c r="C75" s="16"/>
      <c r="D75" s="38"/>
      <c r="E75" s="16"/>
      <c r="F75" s="38">
        <f t="shared" si="0"/>
        <v>0</v>
      </c>
      <c r="G75" s="3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</row>
    <row r="76" spans="1:104" s="3" customFormat="1" ht="14.25" customHeight="1" x14ac:dyDescent="0.25">
      <c r="A76" s="32"/>
      <c r="B76" s="37"/>
      <c r="C76" s="16"/>
      <c r="D76" s="38"/>
      <c r="E76" s="16"/>
      <c r="F76" s="38">
        <f t="shared" si="0"/>
        <v>0</v>
      </c>
      <c r="G76" s="3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</row>
    <row r="77" spans="1:104" s="3" customFormat="1" ht="14.25" customHeight="1" x14ac:dyDescent="0.25">
      <c r="A77" s="32"/>
      <c r="B77" s="37"/>
      <c r="C77" s="16"/>
      <c r="D77" s="38"/>
      <c r="E77" s="16"/>
      <c r="F77" s="38">
        <f t="shared" si="0"/>
        <v>0</v>
      </c>
      <c r="G77" s="3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</row>
    <row r="78" spans="1:104" s="3" customFormat="1" ht="14.25" customHeight="1" x14ac:dyDescent="0.25">
      <c r="A78" s="32"/>
      <c r="B78" s="37"/>
      <c r="C78" s="16"/>
      <c r="D78" s="38"/>
      <c r="E78" s="16"/>
      <c r="F78" s="38">
        <f t="shared" ref="F78:F88" si="1">F77+D78-E78</f>
        <v>0</v>
      </c>
      <c r="G78" s="3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</row>
    <row r="79" spans="1:104" s="3" customFormat="1" ht="14.25" customHeight="1" x14ac:dyDescent="0.25">
      <c r="A79" s="32"/>
      <c r="B79" s="37"/>
      <c r="C79" s="16"/>
      <c r="D79" s="38"/>
      <c r="E79" s="16"/>
      <c r="F79" s="38">
        <f t="shared" si="1"/>
        <v>0</v>
      </c>
      <c r="G79" s="3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</row>
    <row r="80" spans="1:104" s="3" customFormat="1" ht="14.25" customHeight="1" x14ac:dyDescent="0.25">
      <c r="A80" s="32"/>
      <c r="B80" s="37"/>
      <c r="C80" s="16"/>
      <c r="D80" s="38"/>
      <c r="E80" s="16"/>
      <c r="F80" s="38">
        <f t="shared" si="1"/>
        <v>0</v>
      </c>
      <c r="G80" s="3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</row>
    <row r="81" spans="1:104" s="3" customFormat="1" ht="14.25" customHeight="1" x14ac:dyDescent="0.25">
      <c r="A81" s="32"/>
      <c r="B81" s="37"/>
      <c r="C81" s="16"/>
      <c r="D81" s="38"/>
      <c r="E81" s="16"/>
      <c r="F81" s="38">
        <f t="shared" si="1"/>
        <v>0</v>
      </c>
      <c r="G81" s="3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</row>
    <row r="82" spans="1:104" s="3" customFormat="1" ht="14.25" customHeight="1" x14ac:dyDescent="0.25">
      <c r="A82" s="32"/>
      <c r="B82" s="37"/>
      <c r="C82" s="16"/>
      <c r="D82" s="38"/>
      <c r="E82" s="16"/>
      <c r="F82" s="38">
        <f t="shared" si="1"/>
        <v>0</v>
      </c>
      <c r="G82" s="3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</row>
    <row r="83" spans="1:104" s="3" customFormat="1" ht="14.25" customHeight="1" x14ac:dyDescent="0.25">
      <c r="A83" s="32"/>
      <c r="B83" s="37"/>
      <c r="C83" s="16"/>
      <c r="D83" s="38"/>
      <c r="E83" s="16"/>
      <c r="F83" s="38">
        <f t="shared" si="1"/>
        <v>0</v>
      </c>
      <c r="G83" s="3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</row>
    <row r="84" spans="1:104" ht="14.25" customHeight="1" x14ac:dyDescent="0.25">
      <c r="A84" s="7">
        <v>2</v>
      </c>
      <c r="B84" s="36"/>
      <c r="C84" s="2"/>
      <c r="D84" s="2"/>
      <c r="E84" s="15"/>
      <c r="F84" s="38">
        <f t="shared" si="1"/>
        <v>0</v>
      </c>
      <c r="G84" s="30"/>
    </row>
    <row r="85" spans="1:104" ht="14.25" customHeight="1" x14ac:dyDescent="0.25">
      <c r="A85" s="7">
        <f t="shared" ref="A85:A88" si="2">A84+1</f>
        <v>3</v>
      </c>
      <c r="B85" s="13"/>
      <c r="C85" s="2"/>
      <c r="D85" s="15"/>
      <c r="E85" s="28"/>
      <c r="F85" s="38">
        <f t="shared" si="1"/>
        <v>0</v>
      </c>
      <c r="G85" s="2"/>
    </row>
    <row r="86" spans="1:104" x14ac:dyDescent="0.25">
      <c r="A86" s="7">
        <f t="shared" si="2"/>
        <v>4</v>
      </c>
      <c r="B86" s="13"/>
      <c r="C86" s="2"/>
      <c r="D86" s="14"/>
      <c r="E86" s="29"/>
      <c r="F86" s="38">
        <f t="shared" si="1"/>
        <v>0</v>
      </c>
      <c r="G86" s="30"/>
    </row>
    <row r="87" spans="1:104" x14ac:dyDescent="0.25">
      <c r="A87" s="7">
        <f t="shared" si="2"/>
        <v>5</v>
      </c>
      <c r="B87" s="13"/>
      <c r="C87" s="2"/>
      <c r="D87" s="14"/>
      <c r="E87" s="14"/>
      <c r="F87" s="38">
        <f t="shared" si="1"/>
        <v>0</v>
      </c>
      <c r="G87" s="2"/>
    </row>
    <row r="88" spans="1:104" x14ac:dyDescent="0.25">
      <c r="A88" s="7">
        <f t="shared" si="2"/>
        <v>6</v>
      </c>
      <c r="B88" s="13"/>
      <c r="C88" s="2"/>
      <c r="D88" s="14"/>
      <c r="E88" s="14"/>
      <c r="F88" s="38">
        <f t="shared" si="1"/>
        <v>0</v>
      </c>
      <c r="G88" s="30"/>
    </row>
    <row r="89" spans="1:104" x14ac:dyDescent="0.25">
      <c r="A89" s="7"/>
      <c r="B89" s="13"/>
      <c r="C89" s="2"/>
      <c r="D89" s="14"/>
      <c r="E89" s="29"/>
      <c r="F89" s="15"/>
      <c r="G89" s="30"/>
    </row>
    <row r="90" spans="1:104" ht="15.75" thickBot="1" x14ac:dyDescent="0.3">
      <c r="A90" s="8"/>
      <c r="B90" s="9"/>
      <c r="C90" s="9" t="s">
        <v>12</v>
      </c>
      <c r="D90" s="10">
        <f>SUM(D13:D89)</f>
        <v>0</v>
      </c>
      <c r="E90" s="11">
        <f>SUM(E84:E89)</f>
        <v>0</v>
      </c>
      <c r="F90" s="10">
        <f>D90-E90</f>
        <v>0</v>
      </c>
      <c r="G90" s="31"/>
    </row>
    <row r="91" spans="1:104" x14ac:dyDescent="0.25">
      <c r="A91" s="4"/>
      <c r="B91" s="4"/>
      <c r="C91" s="4"/>
      <c r="D91" s="35"/>
      <c r="E91" s="35"/>
      <c r="F91" s="35"/>
      <c r="G91" s="35"/>
    </row>
    <row r="92" spans="1:104" x14ac:dyDescent="0.25">
      <c r="A92" s="4"/>
      <c r="B92" s="4"/>
      <c r="C92" s="4"/>
      <c r="D92" s="35"/>
      <c r="E92" s="35"/>
      <c r="F92" s="35"/>
      <c r="G92" s="35"/>
    </row>
    <row r="93" spans="1:104" x14ac:dyDescent="0.25">
      <c r="A93" s="5" t="s">
        <v>4</v>
      </c>
      <c r="B93" s="5"/>
      <c r="C93" s="5"/>
      <c r="D93" s="5"/>
      <c r="E93" s="5"/>
      <c r="F93" s="5"/>
      <c r="G93" s="5"/>
    </row>
    <row r="94" spans="1:104" x14ac:dyDescent="0.25">
      <c r="A94" s="5" t="s">
        <v>5</v>
      </c>
      <c r="B94" s="6"/>
      <c r="C94" s="6"/>
      <c r="D94" s="6"/>
    </row>
    <row r="95" spans="1:104" s="309" customFormat="1" x14ac:dyDescent="0.25"/>
    <row r="96" spans="1:104" s="309" customFormat="1" x14ac:dyDescent="0.25"/>
    <row r="97" s="309" customFormat="1" x14ac:dyDescent="0.25"/>
  </sheetData>
  <mergeCells count="4">
    <mergeCell ref="A5:G5"/>
    <mergeCell ref="A8:G8"/>
    <mergeCell ref="A95:XFD97"/>
    <mergeCell ref="A9:XFD9"/>
  </mergeCells>
  <pageMargins left="0.70866141732283472" right="0.70866141732283472" top="0.74803149606299213" bottom="0.74803149606299213" header="0.31496062992125984" footer="0.31496062992125984"/>
  <pageSetup paperSize="9" scale="7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3733-0AE0-4742-A327-1C4BA622B157}">
  <dimension ref="A1:G84"/>
  <sheetViews>
    <sheetView zoomScale="75" workbookViewId="0">
      <selection activeCell="C63" sqref="C63"/>
    </sheetView>
  </sheetViews>
  <sheetFormatPr defaultRowHeight="15.75" x14ac:dyDescent="0.25"/>
  <cols>
    <col min="1" max="1" width="6.140625" style="42" customWidth="1"/>
    <col min="2" max="2" width="14.28515625" style="42" customWidth="1"/>
    <col min="3" max="3" width="47.85546875" style="42" customWidth="1"/>
    <col min="4" max="4" width="18.5703125" style="42" customWidth="1"/>
    <col min="5" max="5" width="20.140625" style="42" customWidth="1"/>
    <col min="6" max="6" width="21.7109375" style="42" customWidth="1"/>
    <col min="7" max="7" width="32.5703125" style="42" customWidth="1"/>
    <col min="8" max="16384" width="9.140625" style="42"/>
  </cols>
  <sheetData>
    <row r="1" spans="1:7" x14ac:dyDescent="0.25">
      <c r="A1" s="42" t="str">
        <f>+Acess!A1</f>
        <v>Empresa: Mozambique Support Services, Lda</v>
      </c>
    </row>
    <row r="2" spans="1:7" x14ac:dyDescent="0.25">
      <c r="A2" s="42" t="str">
        <f>+Acess!A2</f>
        <v xml:space="preserve">Nuit: </v>
      </c>
      <c r="B2" s="42">
        <v>401761349</v>
      </c>
    </row>
    <row r="3" spans="1:7" x14ac:dyDescent="0.25">
      <c r="A3" s="42" t="str">
        <f>+Acess!A3</f>
        <v xml:space="preserve">Periodo: </v>
      </c>
    </row>
    <row r="6" spans="1:7" x14ac:dyDescent="0.25">
      <c r="A6" s="310" t="s">
        <v>32</v>
      </c>
      <c r="B6" s="310"/>
      <c r="C6" s="310"/>
      <c r="D6" s="310"/>
      <c r="E6" s="310"/>
      <c r="F6" s="310"/>
      <c r="G6" s="310"/>
    </row>
    <row r="9" spans="1:7" x14ac:dyDescent="0.25">
      <c r="A9" s="43" t="s">
        <v>28</v>
      </c>
    </row>
    <row r="10" spans="1:7" x14ac:dyDescent="0.25">
      <c r="A10" s="311" t="s">
        <v>0</v>
      </c>
      <c r="B10" s="311" t="s">
        <v>1</v>
      </c>
      <c r="C10" s="311" t="s">
        <v>2</v>
      </c>
      <c r="D10" s="313" t="s">
        <v>23</v>
      </c>
      <c r="E10" s="313"/>
      <c r="F10" s="311" t="s">
        <v>9</v>
      </c>
      <c r="G10" s="311" t="s">
        <v>3</v>
      </c>
    </row>
    <row r="11" spans="1:7" x14ac:dyDescent="0.25">
      <c r="A11" s="312"/>
      <c r="B11" s="312"/>
      <c r="C11" s="312"/>
      <c r="D11" s="44" t="s">
        <v>24</v>
      </c>
      <c r="E11" s="44" t="s">
        <v>25</v>
      </c>
      <c r="F11" s="312"/>
      <c r="G11" s="312"/>
    </row>
    <row r="12" spans="1:7" x14ac:dyDescent="0.25">
      <c r="A12" s="45"/>
      <c r="B12" s="45"/>
      <c r="C12" s="45"/>
      <c r="D12" s="46"/>
      <c r="E12" s="46"/>
      <c r="F12" s="46"/>
      <c r="G12" s="47"/>
    </row>
    <row r="13" spans="1:7" x14ac:dyDescent="0.25">
      <c r="A13" s="45"/>
      <c r="B13" s="48"/>
      <c r="C13" s="49"/>
      <c r="D13" s="50"/>
      <c r="E13" s="50"/>
      <c r="F13" s="50">
        <f>+F12+D13-E13</f>
        <v>0</v>
      </c>
      <c r="G13" s="47"/>
    </row>
    <row r="14" spans="1:7" x14ac:dyDescent="0.25">
      <c r="A14" s="45"/>
      <c r="B14" s="48"/>
      <c r="C14" s="49"/>
      <c r="D14" s="50"/>
      <c r="E14" s="50"/>
      <c r="F14" s="50">
        <f t="shared" ref="F14:F19" si="0">+F13+D14-E14</f>
        <v>0</v>
      </c>
      <c r="G14" s="47"/>
    </row>
    <row r="15" spans="1:7" x14ac:dyDescent="0.25">
      <c r="A15" s="45"/>
      <c r="B15" s="48"/>
      <c r="C15" s="49"/>
      <c r="D15" s="50"/>
      <c r="E15" s="50"/>
      <c r="F15" s="50">
        <f t="shared" si="0"/>
        <v>0</v>
      </c>
      <c r="G15" s="47"/>
    </row>
    <row r="16" spans="1:7" x14ac:dyDescent="0.25">
      <c r="A16" s="45"/>
      <c r="B16" s="48"/>
      <c r="C16" s="49"/>
      <c r="D16" s="50"/>
      <c r="E16" s="50"/>
      <c r="F16" s="50">
        <f t="shared" si="0"/>
        <v>0</v>
      </c>
      <c r="G16" s="47"/>
    </row>
    <row r="17" spans="1:7" x14ac:dyDescent="0.25">
      <c r="A17" s="45"/>
      <c r="B17" s="48"/>
      <c r="C17" s="49"/>
      <c r="D17" s="50"/>
      <c r="E17" s="50"/>
      <c r="F17" s="50">
        <f t="shared" si="0"/>
        <v>0</v>
      </c>
      <c r="G17" s="47"/>
    </row>
    <row r="18" spans="1:7" x14ac:dyDescent="0.25">
      <c r="A18" s="45"/>
      <c r="B18" s="48"/>
      <c r="C18" s="49"/>
      <c r="D18" s="50"/>
      <c r="E18" s="50"/>
      <c r="F18" s="50">
        <f t="shared" si="0"/>
        <v>0</v>
      </c>
      <c r="G18" s="47"/>
    </row>
    <row r="19" spans="1:7" x14ac:dyDescent="0.25">
      <c r="A19" s="45"/>
      <c r="B19" s="48"/>
      <c r="C19" s="49"/>
      <c r="D19" s="46"/>
      <c r="E19" s="50"/>
      <c r="F19" s="50">
        <f t="shared" si="0"/>
        <v>0</v>
      </c>
      <c r="G19" s="47"/>
    </row>
    <row r="20" spans="1:7" x14ac:dyDescent="0.25">
      <c r="A20" s="45"/>
      <c r="B20" s="48"/>
      <c r="C20" s="49"/>
      <c r="D20" s="46"/>
      <c r="E20" s="50"/>
      <c r="F20" s="50"/>
      <c r="G20" s="47"/>
    </row>
    <row r="21" spans="1:7" x14ac:dyDescent="0.25">
      <c r="A21" s="51"/>
      <c r="B21" s="52" t="s">
        <v>13</v>
      </c>
      <c r="C21" s="53"/>
      <c r="D21" s="54">
        <f>SUM(D12:D19)</f>
        <v>0</v>
      </c>
      <c r="E21" s="54">
        <f>SUM(E12:E19)</f>
        <v>0</v>
      </c>
      <c r="F21" s="54">
        <f>D21-E21</f>
        <v>0</v>
      </c>
      <c r="G21" s="51"/>
    </row>
    <row r="24" spans="1:7" x14ac:dyDescent="0.25">
      <c r="A24" s="43" t="s">
        <v>30</v>
      </c>
    </row>
    <row r="25" spans="1:7" x14ac:dyDescent="0.25">
      <c r="A25" s="311" t="s">
        <v>0</v>
      </c>
      <c r="B25" s="311" t="s">
        <v>1</v>
      </c>
      <c r="C25" s="311" t="s">
        <v>2</v>
      </c>
      <c r="D25" s="313" t="s">
        <v>23</v>
      </c>
      <c r="E25" s="313"/>
      <c r="F25" s="311" t="s">
        <v>9</v>
      </c>
      <c r="G25" s="311" t="s">
        <v>3</v>
      </c>
    </row>
    <row r="26" spans="1:7" x14ac:dyDescent="0.25">
      <c r="A26" s="312"/>
      <c r="B26" s="312"/>
      <c r="C26" s="312"/>
      <c r="D26" s="44" t="s">
        <v>24</v>
      </c>
      <c r="E26" s="44" t="s">
        <v>25</v>
      </c>
      <c r="F26" s="312"/>
      <c r="G26" s="312"/>
    </row>
    <row r="27" spans="1:7" x14ac:dyDescent="0.25">
      <c r="A27" s="45"/>
      <c r="B27" s="45"/>
      <c r="C27" s="45"/>
      <c r="D27" s="46"/>
      <c r="E27" s="46"/>
      <c r="F27" s="46"/>
      <c r="G27" s="47"/>
    </row>
    <row r="28" spans="1:7" x14ac:dyDescent="0.25">
      <c r="A28" s="45"/>
      <c r="B28" s="48"/>
      <c r="C28" s="49"/>
      <c r="D28" s="50"/>
      <c r="E28" s="50"/>
      <c r="F28" s="50">
        <f>+F27+D28-E28</f>
        <v>0</v>
      </c>
      <c r="G28" s="47"/>
    </row>
    <row r="29" spans="1:7" ht="16.5" customHeight="1" x14ac:dyDescent="0.25">
      <c r="A29" s="45"/>
      <c r="B29" s="48"/>
      <c r="C29" s="49"/>
      <c r="D29" s="46"/>
      <c r="E29" s="46"/>
      <c r="F29" s="50">
        <f t="shared" ref="F29:F34" si="1">+F28+D29-E29</f>
        <v>0</v>
      </c>
      <c r="G29" s="47"/>
    </row>
    <row r="30" spans="1:7" ht="16.5" customHeight="1" x14ac:dyDescent="0.25">
      <c r="A30" s="45"/>
      <c r="B30" s="48"/>
      <c r="C30" s="49"/>
      <c r="D30" s="46"/>
      <c r="E30" s="46"/>
      <c r="F30" s="50">
        <f t="shared" si="1"/>
        <v>0</v>
      </c>
      <c r="G30" s="47"/>
    </row>
    <row r="31" spans="1:7" ht="16.5" customHeight="1" x14ac:dyDescent="0.25">
      <c r="A31" s="45"/>
      <c r="B31" s="48"/>
      <c r="C31" s="49"/>
      <c r="D31" s="46"/>
      <c r="E31" s="46"/>
      <c r="F31" s="50">
        <f t="shared" si="1"/>
        <v>0</v>
      </c>
      <c r="G31" s="47"/>
    </row>
    <row r="32" spans="1:7" ht="16.5" customHeight="1" x14ac:dyDescent="0.25">
      <c r="A32" s="45"/>
      <c r="B32" s="48"/>
      <c r="C32" s="49"/>
      <c r="D32" s="46"/>
      <c r="E32" s="46"/>
      <c r="F32" s="50">
        <f t="shared" si="1"/>
        <v>0</v>
      </c>
      <c r="G32" s="47"/>
    </row>
    <row r="33" spans="1:7" ht="16.5" customHeight="1" x14ac:dyDescent="0.25">
      <c r="A33" s="45"/>
      <c r="B33" s="48"/>
      <c r="C33" s="49"/>
      <c r="D33" s="46"/>
      <c r="E33" s="46"/>
      <c r="F33" s="50">
        <f t="shared" si="1"/>
        <v>0</v>
      </c>
      <c r="G33" s="47"/>
    </row>
    <row r="34" spans="1:7" ht="16.5" customHeight="1" x14ac:dyDescent="0.25">
      <c r="A34" s="45"/>
      <c r="B34" s="48"/>
      <c r="C34" s="49"/>
      <c r="D34" s="46"/>
      <c r="E34" s="46"/>
      <c r="F34" s="50">
        <f t="shared" si="1"/>
        <v>0</v>
      </c>
      <c r="G34" s="47"/>
    </row>
    <row r="35" spans="1:7" ht="16.5" customHeight="1" x14ac:dyDescent="0.25">
      <c r="A35" s="45"/>
      <c r="B35" s="48"/>
      <c r="C35" s="49"/>
      <c r="D35" s="46"/>
      <c r="E35" s="46"/>
      <c r="F35" s="46"/>
      <c r="G35" s="47"/>
    </row>
    <row r="36" spans="1:7" x14ac:dyDescent="0.25">
      <c r="A36" s="51"/>
      <c r="B36" s="52" t="s">
        <v>13</v>
      </c>
      <c r="C36" s="53"/>
      <c r="D36" s="54">
        <f>SUM(D27:D29)</f>
        <v>0</v>
      </c>
      <c r="E36" s="54">
        <f>SUM(E27:E29)</f>
        <v>0</v>
      </c>
      <c r="F36" s="54">
        <f>D36-E36</f>
        <v>0</v>
      </c>
      <c r="G36" s="51"/>
    </row>
    <row r="39" spans="1:7" x14ac:dyDescent="0.25">
      <c r="A39" s="43" t="s">
        <v>29</v>
      </c>
    </row>
    <row r="40" spans="1:7" x14ac:dyDescent="0.25">
      <c r="A40" s="311" t="s">
        <v>0</v>
      </c>
      <c r="B40" s="311" t="s">
        <v>1</v>
      </c>
      <c r="C40" s="311" t="s">
        <v>2</v>
      </c>
      <c r="D40" s="313" t="s">
        <v>23</v>
      </c>
      <c r="E40" s="313"/>
      <c r="F40" s="311" t="s">
        <v>9</v>
      </c>
      <c r="G40" s="311" t="s">
        <v>3</v>
      </c>
    </row>
    <row r="41" spans="1:7" x14ac:dyDescent="0.25">
      <c r="A41" s="312"/>
      <c r="B41" s="312"/>
      <c r="C41" s="312"/>
      <c r="D41" s="44" t="s">
        <v>24</v>
      </c>
      <c r="E41" s="44" t="s">
        <v>25</v>
      </c>
      <c r="F41" s="312"/>
      <c r="G41" s="312"/>
    </row>
    <row r="42" spans="1:7" x14ac:dyDescent="0.25">
      <c r="A42" s="45"/>
      <c r="B42" s="45"/>
      <c r="C42" s="45"/>
      <c r="D42" s="46"/>
      <c r="E42" s="46"/>
      <c r="F42" s="46"/>
      <c r="G42" s="47"/>
    </row>
    <row r="43" spans="1:7" x14ac:dyDescent="0.25">
      <c r="A43" s="45"/>
      <c r="B43" s="48"/>
      <c r="C43" s="49"/>
      <c r="D43" s="50"/>
      <c r="E43" s="50"/>
      <c r="F43" s="50">
        <f>+F42+D43-E43</f>
        <v>0</v>
      </c>
      <c r="G43" s="47"/>
    </row>
    <row r="44" spans="1:7" x14ac:dyDescent="0.25">
      <c r="A44" s="45"/>
      <c r="B44" s="48"/>
      <c r="C44" s="49"/>
      <c r="D44" s="46"/>
      <c r="E44" s="50"/>
      <c r="F44" s="50">
        <f t="shared" ref="F44:F49" si="2">+F43+D44-E44</f>
        <v>0</v>
      </c>
      <c r="G44" s="47"/>
    </row>
    <row r="45" spans="1:7" x14ac:dyDescent="0.25">
      <c r="A45" s="45"/>
      <c r="B45" s="48"/>
      <c r="C45" s="49"/>
      <c r="D45" s="46"/>
      <c r="E45" s="50"/>
      <c r="F45" s="50">
        <f t="shared" si="2"/>
        <v>0</v>
      </c>
      <c r="G45" s="47"/>
    </row>
    <row r="46" spans="1:7" x14ac:dyDescent="0.25">
      <c r="A46" s="45"/>
      <c r="B46" s="48"/>
      <c r="C46" s="49"/>
      <c r="D46" s="46"/>
      <c r="E46" s="50"/>
      <c r="F46" s="50">
        <f t="shared" si="2"/>
        <v>0</v>
      </c>
      <c r="G46" s="47"/>
    </row>
    <row r="47" spans="1:7" x14ac:dyDescent="0.25">
      <c r="A47" s="45"/>
      <c r="B47" s="48"/>
      <c r="C47" s="49"/>
      <c r="D47" s="46"/>
      <c r="E47" s="50"/>
      <c r="F47" s="50">
        <f t="shared" si="2"/>
        <v>0</v>
      </c>
      <c r="G47" s="47"/>
    </row>
    <row r="48" spans="1:7" x14ac:dyDescent="0.25">
      <c r="A48" s="45"/>
      <c r="B48" s="48"/>
      <c r="C48" s="49"/>
      <c r="D48" s="46"/>
      <c r="E48" s="50"/>
      <c r="F48" s="50">
        <f t="shared" si="2"/>
        <v>0</v>
      </c>
      <c r="G48" s="47"/>
    </row>
    <row r="49" spans="1:7" x14ac:dyDescent="0.25">
      <c r="A49" s="45"/>
      <c r="B49" s="48"/>
      <c r="C49" s="49"/>
      <c r="D49" s="46"/>
      <c r="E49" s="50"/>
      <c r="F49" s="50">
        <f t="shared" si="2"/>
        <v>0</v>
      </c>
      <c r="G49" s="47"/>
    </row>
    <row r="50" spans="1:7" x14ac:dyDescent="0.25">
      <c r="A50" s="45"/>
      <c r="B50" s="48"/>
      <c r="C50" s="49"/>
      <c r="D50" s="46"/>
      <c r="E50" s="50"/>
      <c r="F50" s="50"/>
      <c r="G50" s="47"/>
    </row>
    <row r="51" spans="1:7" x14ac:dyDescent="0.25">
      <c r="A51" s="51"/>
      <c r="B51" s="52" t="s">
        <v>13</v>
      </c>
      <c r="C51" s="53"/>
      <c r="D51" s="54">
        <f>SUM(D42:D44)</f>
        <v>0</v>
      </c>
      <c r="E51" s="54">
        <f>SUM(E42:E46)</f>
        <v>0</v>
      </c>
      <c r="F51" s="54">
        <f>D51-E51</f>
        <v>0</v>
      </c>
      <c r="G51" s="51"/>
    </row>
    <row r="54" spans="1:7" ht="27" x14ac:dyDescent="0.25">
      <c r="A54" s="314" t="s">
        <v>26</v>
      </c>
      <c r="B54" s="314"/>
      <c r="C54" s="314"/>
      <c r="D54" s="314"/>
      <c r="E54" s="314"/>
      <c r="F54" s="314"/>
      <c r="G54" s="314"/>
    </row>
    <row r="56" spans="1:7" x14ac:dyDescent="0.25">
      <c r="A56" s="43" t="s">
        <v>28</v>
      </c>
    </row>
    <row r="57" spans="1:7" x14ac:dyDescent="0.25">
      <c r="A57" s="315" t="s">
        <v>0</v>
      </c>
      <c r="B57" s="315" t="s">
        <v>1</v>
      </c>
      <c r="C57" s="315" t="s">
        <v>2</v>
      </c>
      <c r="D57" s="317" t="s">
        <v>23</v>
      </c>
      <c r="E57" s="317"/>
      <c r="F57" s="315" t="s">
        <v>9</v>
      </c>
      <c r="G57" s="315" t="s">
        <v>3</v>
      </c>
    </row>
    <row r="58" spans="1:7" x14ac:dyDescent="0.25">
      <c r="A58" s="316"/>
      <c r="B58" s="316"/>
      <c r="C58" s="316"/>
      <c r="D58" s="83" t="s">
        <v>24</v>
      </c>
      <c r="E58" s="83" t="s">
        <v>25</v>
      </c>
      <c r="F58" s="316"/>
      <c r="G58" s="316"/>
    </row>
    <row r="59" spans="1:7" x14ac:dyDescent="0.25">
      <c r="A59" s="84">
        <v>1</v>
      </c>
      <c r="B59" s="84"/>
      <c r="C59" s="84"/>
      <c r="D59" s="190"/>
      <c r="E59" s="190"/>
      <c r="F59" s="190">
        <f t="shared" ref="F59:F83" si="3">+F58+E59-D59</f>
        <v>0</v>
      </c>
      <c r="G59" s="86"/>
    </row>
    <row r="60" spans="1:7" x14ac:dyDescent="0.25">
      <c r="A60" s="193">
        <v>2</v>
      </c>
      <c r="B60" s="194">
        <v>45972</v>
      </c>
      <c r="C60" s="199" t="s">
        <v>237</v>
      </c>
      <c r="D60" s="195"/>
      <c r="E60" s="195">
        <v>447532.66</v>
      </c>
      <c r="F60" s="197">
        <f t="shared" si="3"/>
        <v>447532.66</v>
      </c>
      <c r="G60" s="198" t="s">
        <v>84</v>
      </c>
    </row>
    <row r="61" spans="1:7" x14ac:dyDescent="0.25">
      <c r="A61" s="193">
        <v>3</v>
      </c>
      <c r="B61" s="194">
        <v>45972</v>
      </c>
      <c r="C61" s="199" t="s">
        <v>236</v>
      </c>
      <c r="D61" s="195"/>
      <c r="E61" s="196">
        <v>525667.67000000004</v>
      </c>
      <c r="F61" s="197">
        <f t="shared" si="3"/>
        <v>973200.33000000007</v>
      </c>
      <c r="G61" s="198" t="s">
        <v>84</v>
      </c>
    </row>
    <row r="62" spans="1:7" x14ac:dyDescent="0.25">
      <c r="A62" s="193">
        <v>4</v>
      </c>
      <c r="B62" s="194">
        <v>45972</v>
      </c>
      <c r="C62" s="199" t="s">
        <v>235</v>
      </c>
      <c r="D62" s="195"/>
      <c r="E62" s="195">
        <v>234026.78</v>
      </c>
      <c r="F62" s="197">
        <f t="shared" si="3"/>
        <v>1207227.1100000001</v>
      </c>
      <c r="G62" s="198" t="s">
        <v>84</v>
      </c>
    </row>
    <row r="63" spans="1:7" x14ac:dyDescent="0.25">
      <c r="A63" s="84">
        <v>5</v>
      </c>
      <c r="B63" s="87"/>
      <c r="C63" s="89"/>
      <c r="D63" s="175"/>
      <c r="E63" s="175"/>
      <c r="F63" s="190">
        <f t="shared" si="3"/>
        <v>1207227.1100000001</v>
      </c>
      <c r="G63" s="86"/>
    </row>
    <row r="64" spans="1:7" x14ac:dyDescent="0.25">
      <c r="A64" s="84"/>
      <c r="B64" s="87"/>
      <c r="C64" s="89"/>
      <c r="D64" s="175"/>
      <c r="E64" s="175"/>
      <c r="F64" s="190">
        <f t="shared" si="3"/>
        <v>1207227.1100000001</v>
      </c>
      <c r="G64" s="86"/>
    </row>
    <row r="65" spans="1:7" x14ac:dyDescent="0.25">
      <c r="A65" s="84"/>
      <c r="B65" s="87"/>
      <c r="C65" s="89"/>
      <c r="D65" s="175"/>
      <c r="E65" s="175"/>
      <c r="F65" s="190">
        <f t="shared" si="3"/>
        <v>1207227.1100000001</v>
      </c>
      <c r="G65" s="86"/>
    </row>
    <row r="66" spans="1:7" x14ac:dyDescent="0.25">
      <c r="A66" s="84"/>
      <c r="B66" s="87"/>
      <c r="C66" s="89"/>
      <c r="D66" s="175"/>
      <c r="E66" s="175"/>
      <c r="F66" s="190">
        <f t="shared" si="3"/>
        <v>1207227.1100000001</v>
      </c>
      <c r="G66" s="86"/>
    </row>
    <row r="67" spans="1:7" x14ac:dyDescent="0.25">
      <c r="A67" s="84"/>
      <c r="B67" s="84"/>
      <c r="C67" s="84"/>
      <c r="D67" s="190"/>
      <c r="E67" s="190"/>
      <c r="F67" s="190">
        <f t="shared" si="3"/>
        <v>1207227.1100000001</v>
      </c>
      <c r="G67" s="86"/>
    </row>
    <row r="68" spans="1:7" x14ac:dyDescent="0.25">
      <c r="A68" s="86"/>
      <c r="B68" s="86"/>
      <c r="C68" s="86"/>
      <c r="D68" s="175"/>
      <c r="E68" s="175"/>
      <c r="F68" s="190">
        <f t="shared" si="3"/>
        <v>1207227.1100000001</v>
      </c>
      <c r="G68" s="86"/>
    </row>
    <row r="69" spans="1:7" x14ac:dyDescent="0.25">
      <c r="A69" s="148"/>
      <c r="B69" s="86"/>
      <c r="C69" s="86"/>
      <c r="D69" s="175"/>
      <c r="E69" s="175"/>
      <c r="F69" s="190">
        <f t="shared" si="3"/>
        <v>1207227.1100000001</v>
      </c>
      <c r="G69" s="86"/>
    </row>
    <row r="70" spans="1:7" x14ac:dyDescent="0.25">
      <c r="A70" s="84"/>
      <c r="B70" s="84"/>
      <c r="C70" s="84"/>
      <c r="D70" s="190"/>
      <c r="E70" s="190"/>
      <c r="F70" s="190">
        <f t="shared" si="3"/>
        <v>1207227.1100000001</v>
      </c>
      <c r="G70" s="86"/>
    </row>
    <row r="71" spans="1:7" x14ac:dyDescent="0.25">
      <c r="A71" s="84"/>
      <c r="B71" s="87"/>
      <c r="C71" s="89"/>
      <c r="D71" s="175"/>
      <c r="E71" s="190"/>
      <c r="F71" s="190">
        <f t="shared" si="3"/>
        <v>1207227.1100000001</v>
      </c>
      <c r="G71" s="86"/>
    </row>
    <row r="72" spans="1:7" x14ac:dyDescent="0.25">
      <c r="A72" s="84"/>
      <c r="B72" s="87"/>
      <c r="C72" s="89"/>
      <c r="D72" s="175"/>
      <c r="E72" s="190"/>
      <c r="F72" s="190">
        <f t="shared" si="3"/>
        <v>1207227.1100000001</v>
      </c>
      <c r="G72" s="86"/>
    </row>
    <row r="73" spans="1:7" x14ac:dyDescent="0.25">
      <c r="A73" s="84"/>
      <c r="B73" s="87"/>
      <c r="C73" s="89"/>
      <c r="D73" s="175"/>
      <c r="E73" s="190"/>
      <c r="F73" s="190">
        <f t="shared" si="3"/>
        <v>1207227.1100000001</v>
      </c>
      <c r="G73" s="86"/>
    </row>
    <row r="74" spans="1:7" x14ac:dyDescent="0.25">
      <c r="A74" s="84"/>
      <c r="B74" s="87"/>
      <c r="C74" s="89"/>
      <c r="D74" s="175"/>
      <c r="E74" s="190"/>
      <c r="F74" s="190">
        <f t="shared" si="3"/>
        <v>1207227.1100000001</v>
      </c>
      <c r="G74" s="86"/>
    </row>
    <row r="75" spans="1:7" x14ac:dyDescent="0.25">
      <c r="A75" s="84"/>
      <c r="B75" s="87"/>
      <c r="C75" s="89"/>
      <c r="D75" s="175"/>
      <c r="E75" s="190"/>
      <c r="F75" s="190">
        <f t="shared" si="3"/>
        <v>1207227.1100000001</v>
      </c>
      <c r="G75" s="86"/>
    </row>
    <row r="76" spans="1:7" x14ac:dyDescent="0.25">
      <c r="A76" s="84"/>
      <c r="B76" s="87"/>
      <c r="C76" s="89"/>
      <c r="D76" s="175"/>
      <c r="E76" s="190"/>
      <c r="F76" s="190">
        <f t="shared" si="3"/>
        <v>1207227.1100000001</v>
      </c>
      <c r="G76" s="86"/>
    </row>
    <row r="77" spans="1:7" x14ac:dyDescent="0.25">
      <c r="A77" s="84"/>
      <c r="B77" s="87"/>
      <c r="C77" s="89"/>
      <c r="D77" s="175"/>
      <c r="E77" s="190"/>
      <c r="F77" s="190">
        <f t="shared" si="3"/>
        <v>1207227.1100000001</v>
      </c>
      <c r="G77" s="86"/>
    </row>
    <row r="78" spans="1:7" x14ac:dyDescent="0.25">
      <c r="A78" s="84"/>
      <c r="B78" s="87"/>
      <c r="C78" s="89"/>
      <c r="D78" s="175"/>
      <c r="E78" s="190"/>
      <c r="F78" s="190">
        <f t="shared" si="3"/>
        <v>1207227.1100000001</v>
      </c>
      <c r="G78" s="86"/>
    </row>
    <row r="79" spans="1:7" x14ac:dyDescent="0.25">
      <c r="A79" s="84"/>
      <c r="B79" s="87"/>
      <c r="C79" s="89"/>
      <c r="D79" s="175"/>
      <c r="E79" s="190"/>
      <c r="F79" s="190">
        <f t="shared" si="3"/>
        <v>1207227.1100000001</v>
      </c>
      <c r="G79" s="86"/>
    </row>
    <row r="80" spans="1:7" x14ac:dyDescent="0.25">
      <c r="A80" s="84"/>
      <c r="B80" s="87"/>
      <c r="C80" s="89"/>
      <c r="D80" s="175"/>
      <c r="E80" s="190"/>
      <c r="F80" s="190">
        <f t="shared" si="3"/>
        <v>1207227.1100000001</v>
      </c>
      <c r="G80" s="86"/>
    </row>
    <row r="81" spans="1:7" x14ac:dyDescent="0.25">
      <c r="A81" s="84"/>
      <c r="B81" s="87"/>
      <c r="C81" s="89"/>
      <c r="D81" s="175"/>
      <c r="E81" s="190"/>
      <c r="F81" s="190">
        <f t="shared" si="3"/>
        <v>1207227.1100000001</v>
      </c>
      <c r="G81" s="86"/>
    </row>
    <row r="82" spans="1:7" x14ac:dyDescent="0.25">
      <c r="A82" s="84"/>
      <c r="B82" s="84"/>
      <c r="C82" s="84"/>
      <c r="D82" s="190"/>
      <c r="E82" s="190"/>
      <c r="F82" s="190">
        <f t="shared" si="3"/>
        <v>1207227.1100000001</v>
      </c>
      <c r="G82" s="86"/>
    </row>
    <row r="83" spans="1:7" x14ac:dyDescent="0.25">
      <c r="A83" s="90"/>
      <c r="B83" s="91" t="s">
        <v>13</v>
      </c>
      <c r="C83" s="92"/>
      <c r="D83" s="191">
        <f>SUM(D71:D82)</f>
        <v>0</v>
      </c>
      <c r="E83" s="191">
        <f>SUM(E71:E82)</f>
        <v>0</v>
      </c>
      <c r="F83" s="192">
        <f t="shared" si="3"/>
        <v>1207227.1100000001</v>
      </c>
      <c r="G83" s="90"/>
    </row>
    <row r="84" spans="1:7" x14ac:dyDescent="0.25">
      <c r="A84" s="81"/>
      <c r="B84" s="81"/>
      <c r="C84" s="81"/>
      <c r="D84" s="81"/>
      <c r="E84" s="81"/>
      <c r="F84" s="81"/>
      <c r="G84" s="81"/>
    </row>
  </sheetData>
  <mergeCells count="26">
    <mergeCell ref="A54:G54"/>
    <mergeCell ref="A57:A58"/>
    <mergeCell ref="B57:B58"/>
    <mergeCell ref="C57:C58"/>
    <mergeCell ref="D57:E57"/>
    <mergeCell ref="F57:F58"/>
    <mergeCell ref="G57:G58"/>
    <mergeCell ref="G40:G41"/>
    <mergeCell ref="A25:A26"/>
    <mergeCell ref="B25:B26"/>
    <mergeCell ref="C25:C26"/>
    <mergeCell ref="D25:E25"/>
    <mergeCell ref="F25:F26"/>
    <mergeCell ref="G25:G26"/>
    <mergeCell ref="A40:A41"/>
    <mergeCell ref="B40:B41"/>
    <mergeCell ref="C40:C41"/>
    <mergeCell ref="D40:E40"/>
    <mergeCell ref="F40:F41"/>
    <mergeCell ref="A6:G6"/>
    <mergeCell ref="A10:A11"/>
    <mergeCell ref="B10:B11"/>
    <mergeCell ref="C10:C11"/>
    <mergeCell ref="D10:E10"/>
    <mergeCell ref="F10:F11"/>
    <mergeCell ref="G10:G11"/>
  </mergeCells>
  <pageMargins left="0.7" right="0.7" top="0.75" bottom="0.75" header="0.3" footer="0.3"/>
  <pageSetup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87BA-2315-4D0A-A3A0-4E130750EF09}">
  <sheetPr>
    <pageSetUpPr fitToPage="1"/>
  </sheetPr>
  <dimension ref="A2:M92"/>
  <sheetViews>
    <sheetView topLeftCell="A41" zoomScale="76" workbookViewId="0">
      <selection activeCell="B58" sqref="B58"/>
    </sheetView>
  </sheetViews>
  <sheetFormatPr defaultRowHeight="15" x14ac:dyDescent="0.25"/>
  <cols>
    <col min="1" max="1" width="12.42578125" customWidth="1"/>
    <col min="2" max="2" width="23.7109375" customWidth="1"/>
    <col min="3" max="3" width="19.7109375" customWidth="1"/>
    <col min="4" max="4" width="24" customWidth="1"/>
    <col min="5" max="5" width="27.85546875" customWidth="1"/>
    <col min="6" max="6" width="22" customWidth="1"/>
    <col min="8" max="8" width="12.28515625" customWidth="1"/>
    <col min="9" max="9" width="23" customWidth="1"/>
    <col min="10" max="10" width="19.7109375" customWidth="1"/>
    <col min="11" max="11" width="16.28515625" customWidth="1"/>
    <col min="12" max="12" width="22" customWidth="1"/>
    <col min="13" max="13" width="27.5703125" customWidth="1"/>
  </cols>
  <sheetData>
    <row r="2" spans="1:13" ht="33.75" x14ac:dyDescent="0.5">
      <c r="C2" s="158" t="s">
        <v>114</v>
      </c>
      <c r="J2" s="159" t="s">
        <v>75</v>
      </c>
    </row>
    <row r="14" spans="1:13" ht="15.75" thickBot="1" x14ac:dyDescent="0.3"/>
    <row r="15" spans="1:13" ht="16.5" thickBot="1" x14ac:dyDescent="0.3">
      <c r="A15" s="55" t="s">
        <v>38</v>
      </c>
      <c r="B15" s="56" t="s">
        <v>39</v>
      </c>
      <c r="C15" s="57" t="s">
        <v>41</v>
      </c>
      <c r="D15" s="57" t="s">
        <v>43</v>
      </c>
      <c r="E15" s="56">
        <v>0.75</v>
      </c>
      <c r="F15" s="56">
        <v>0.25</v>
      </c>
      <c r="H15" s="55" t="s">
        <v>38</v>
      </c>
      <c r="I15" s="56" t="s">
        <v>39</v>
      </c>
      <c r="J15" s="57" t="s">
        <v>41</v>
      </c>
      <c r="K15" s="57" t="s">
        <v>43</v>
      </c>
      <c r="L15" s="56">
        <v>0.75</v>
      </c>
      <c r="M15" s="56">
        <v>0.25</v>
      </c>
    </row>
    <row r="16" spans="1:13" ht="16.5" thickBot="1" x14ac:dyDescent="0.3">
      <c r="A16" s="58"/>
      <c r="B16" s="59" t="s">
        <v>40</v>
      </c>
      <c r="C16" s="58" t="s">
        <v>42</v>
      </c>
      <c r="D16" s="58"/>
      <c r="E16" s="57" t="s">
        <v>45</v>
      </c>
      <c r="F16" s="57" t="s">
        <v>44</v>
      </c>
      <c r="H16" s="58"/>
      <c r="I16" s="59" t="s">
        <v>40</v>
      </c>
      <c r="J16" s="58" t="s">
        <v>42</v>
      </c>
      <c r="K16" s="58"/>
      <c r="L16" s="57" t="s">
        <v>45</v>
      </c>
      <c r="M16" s="57" t="s">
        <v>44</v>
      </c>
    </row>
    <row r="17" spans="1:13" ht="15.75" x14ac:dyDescent="0.25">
      <c r="A17" s="59">
        <v>1</v>
      </c>
      <c r="B17" s="61">
        <v>5330.23</v>
      </c>
      <c r="C17" s="66">
        <v>6183.06</v>
      </c>
      <c r="D17" s="70" t="s">
        <v>47</v>
      </c>
      <c r="E17" s="74">
        <v>4637.3</v>
      </c>
      <c r="F17" s="74">
        <v>1545.77</v>
      </c>
      <c r="H17" s="59">
        <v>1</v>
      </c>
      <c r="I17" s="61">
        <v>29485.45</v>
      </c>
      <c r="J17" s="66">
        <v>34203.120000000003</v>
      </c>
      <c r="K17" s="70" t="s">
        <v>115</v>
      </c>
      <c r="L17" s="74">
        <v>25652.34</v>
      </c>
      <c r="M17" s="74">
        <v>8550.7800000000007</v>
      </c>
    </row>
    <row r="18" spans="1:13" ht="15.75" x14ac:dyDescent="0.25">
      <c r="A18" s="79">
        <v>2</v>
      </c>
      <c r="B18" s="62">
        <v>2000</v>
      </c>
      <c r="C18" s="67">
        <v>2320</v>
      </c>
      <c r="D18" s="71" t="s">
        <v>48</v>
      </c>
      <c r="E18" s="75">
        <v>1740</v>
      </c>
      <c r="F18" s="75">
        <v>580</v>
      </c>
      <c r="H18" s="79">
        <v>2</v>
      </c>
      <c r="I18" s="62">
        <v>13629.01</v>
      </c>
      <c r="J18" s="67">
        <v>15809.65</v>
      </c>
      <c r="K18" s="71" t="s">
        <v>116</v>
      </c>
      <c r="L18" s="75">
        <v>13280.11</v>
      </c>
      <c r="M18" s="75">
        <v>3952.4</v>
      </c>
    </row>
    <row r="19" spans="1:13" ht="15.75" x14ac:dyDescent="0.25">
      <c r="A19" s="79">
        <v>3</v>
      </c>
      <c r="B19" s="62">
        <v>2000</v>
      </c>
      <c r="C19" s="67">
        <v>2320</v>
      </c>
      <c r="D19" s="71" t="s">
        <v>49</v>
      </c>
      <c r="E19" s="75">
        <v>1740</v>
      </c>
      <c r="F19" s="75">
        <v>580</v>
      </c>
      <c r="H19" s="79">
        <v>3</v>
      </c>
      <c r="I19" s="62">
        <v>3922.61</v>
      </c>
      <c r="J19" s="67">
        <v>4550.2299999999996</v>
      </c>
      <c r="K19" s="71" t="s">
        <v>117</v>
      </c>
      <c r="L19" s="75">
        <v>3822.2</v>
      </c>
      <c r="M19" s="75">
        <v>1137.5999999999999</v>
      </c>
    </row>
    <row r="20" spans="1:13" ht="15.75" x14ac:dyDescent="0.25">
      <c r="A20" s="79">
        <v>4</v>
      </c>
      <c r="B20" s="62">
        <v>5000</v>
      </c>
      <c r="C20" s="67">
        <v>5800</v>
      </c>
      <c r="D20" s="71" t="s">
        <v>50</v>
      </c>
      <c r="E20" s="75">
        <v>4350</v>
      </c>
      <c r="F20" s="75">
        <v>1450</v>
      </c>
      <c r="H20" s="79">
        <v>4</v>
      </c>
      <c r="I20" s="62">
        <v>3500</v>
      </c>
      <c r="J20" s="67">
        <v>4060</v>
      </c>
      <c r="K20" s="71" t="s">
        <v>118</v>
      </c>
      <c r="L20" s="75">
        <v>3410.4</v>
      </c>
      <c r="M20" s="75">
        <v>1015</v>
      </c>
    </row>
    <row r="21" spans="1:13" ht="15.75" x14ac:dyDescent="0.25">
      <c r="A21" s="79">
        <v>5</v>
      </c>
      <c r="B21" s="62">
        <v>5000</v>
      </c>
      <c r="C21" s="67">
        <v>5800</v>
      </c>
      <c r="D21" s="71" t="s">
        <v>51</v>
      </c>
      <c r="E21" s="75">
        <v>4350</v>
      </c>
      <c r="F21" s="75">
        <v>1450</v>
      </c>
      <c r="H21" s="79">
        <v>5</v>
      </c>
      <c r="I21" s="62">
        <v>3500</v>
      </c>
      <c r="J21" s="67">
        <v>4060</v>
      </c>
      <c r="K21" s="71" t="s">
        <v>119</v>
      </c>
      <c r="L21" s="75">
        <v>3410.4</v>
      </c>
      <c r="M21" s="75">
        <v>1015</v>
      </c>
    </row>
    <row r="22" spans="1:13" ht="15.75" x14ac:dyDescent="0.25">
      <c r="A22" s="79">
        <v>6</v>
      </c>
      <c r="B22" s="63">
        <v>10915.76</v>
      </c>
      <c r="C22" s="67">
        <v>12662.3</v>
      </c>
      <c r="D22" s="71" t="s">
        <v>52</v>
      </c>
      <c r="E22" s="75">
        <v>9496.7199999999993</v>
      </c>
      <c r="F22" s="75">
        <v>3165.5749999999998</v>
      </c>
      <c r="H22" s="79">
        <v>6</v>
      </c>
      <c r="I22" s="63">
        <v>5000</v>
      </c>
      <c r="J22" s="67">
        <v>5800</v>
      </c>
      <c r="K22" s="71" t="s">
        <v>120</v>
      </c>
      <c r="L22" s="75">
        <v>4350</v>
      </c>
      <c r="M22" s="75">
        <v>1450</v>
      </c>
    </row>
    <row r="23" spans="1:13" ht="15.75" x14ac:dyDescent="0.25">
      <c r="A23" s="79">
        <v>7</v>
      </c>
      <c r="B23" s="62">
        <v>5000</v>
      </c>
      <c r="C23" s="67">
        <v>5800</v>
      </c>
      <c r="D23" s="71" t="s">
        <v>53</v>
      </c>
      <c r="E23" s="75">
        <v>4350</v>
      </c>
      <c r="F23" s="75">
        <v>1450</v>
      </c>
      <c r="H23" s="79">
        <v>7</v>
      </c>
      <c r="I23" s="62">
        <v>5000</v>
      </c>
      <c r="J23" s="67">
        <v>5800</v>
      </c>
      <c r="K23" s="71" t="s">
        <v>121</v>
      </c>
      <c r="L23" s="75">
        <v>4350</v>
      </c>
      <c r="M23" s="75">
        <v>1450</v>
      </c>
    </row>
    <row r="24" spans="1:13" ht="15.75" x14ac:dyDescent="0.25">
      <c r="A24" s="79">
        <v>8</v>
      </c>
      <c r="B24" s="62">
        <v>2000</v>
      </c>
      <c r="C24" s="67">
        <v>2320</v>
      </c>
      <c r="D24" s="71" t="s">
        <v>54</v>
      </c>
      <c r="E24" s="75">
        <v>1740</v>
      </c>
      <c r="F24" s="75">
        <v>580</v>
      </c>
      <c r="H24" s="79">
        <v>8</v>
      </c>
      <c r="I24" s="62">
        <v>11377.69</v>
      </c>
      <c r="J24" s="67">
        <v>13198.12</v>
      </c>
      <c r="K24" s="71" t="s">
        <v>122</v>
      </c>
      <c r="L24" s="75">
        <v>9898.59</v>
      </c>
      <c r="M24" s="75">
        <v>3299.53</v>
      </c>
    </row>
    <row r="25" spans="1:13" ht="15.75" x14ac:dyDescent="0.25">
      <c r="A25" s="79">
        <v>9</v>
      </c>
      <c r="B25" s="62">
        <v>5302.45</v>
      </c>
      <c r="C25" s="67">
        <v>6150.84</v>
      </c>
      <c r="D25" s="71" t="s">
        <v>55</v>
      </c>
      <c r="E25" s="75">
        <v>4613.13</v>
      </c>
      <c r="F25" s="75">
        <v>1537.71</v>
      </c>
      <c r="H25" s="79">
        <v>9</v>
      </c>
      <c r="I25" s="62">
        <v>24863.13</v>
      </c>
      <c r="J25" s="67">
        <v>28841.23</v>
      </c>
      <c r="K25" s="71" t="s">
        <v>123</v>
      </c>
      <c r="L25" s="75">
        <v>21630.93</v>
      </c>
      <c r="M25" s="75">
        <v>7210.3</v>
      </c>
    </row>
    <row r="26" spans="1:13" ht="15.75" x14ac:dyDescent="0.25">
      <c r="A26" s="79">
        <v>10</v>
      </c>
      <c r="B26" s="62">
        <v>2000</v>
      </c>
      <c r="C26" s="67">
        <v>2320</v>
      </c>
      <c r="D26" s="71" t="s">
        <v>56</v>
      </c>
      <c r="E26" s="75">
        <v>1740</v>
      </c>
      <c r="F26" s="75">
        <v>580</v>
      </c>
      <c r="H26" s="79">
        <v>10</v>
      </c>
      <c r="I26" s="62">
        <v>5000</v>
      </c>
      <c r="J26" s="67">
        <v>5800</v>
      </c>
      <c r="K26" s="71" t="s">
        <v>124</v>
      </c>
      <c r="L26" s="75">
        <v>4350</v>
      </c>
      <c r="M26" s="75">
        <v>1450</v>
      </c>
    </row>
    <row r="27" spans="1:13" ht="15.75" x14ac:dyDescent="0.25">
      <c r="A27" s="79">
        <v>11</v>
      </c>
      <c r="B27" s="62">
        <v>5000</v>
      </c>
      <c r="C27" s="67">
        <v>5800</v>
      </c>
      <c r="D27" s="71" t="s">
        <v>57</v>
      </c>
      <c r="E27" s="75">
        <v>4350</v>
      </c>
      <c r="F27" s="75">
        <v>1450</v>
      </c>
      <c r="H27" s="79">
        <v>11</v>
      </c>
      <c r="I27" s="62"/>
      <c r="J27" s="67"/>
      <c r="K27" s="71"/>
      <c r="L27" s="75"/>
      <c r="M27" s="75"/>
    </row>
    <row r="28" spans="1:13" ht="15.75" x14ac:dyDescent="0.25">
      <c r="A28" s="79">
        <v>12</v>
      </c>
      <c r="B28" s="62">
        <v>5000</v>
      </c>
      <c r="C28" s="67">
        <v>5800</v>
      </c>
      <c r="D28" s="71" t="s">
        <v>58</v>
      </c>
      <c r="E28" s="75">
        <v>4350</v>
      </c>
      <c r="F28" s="75">
        <v>1450</v>
      </c>
      <c r="H28" s="79">
        <v>12</v>
      </c>
      <c r="I28" s="62"/>
      <c r="J28" s="67"/>
      <c r="K28" s="71"/>
      <c r="L28" s="75"/>
      <c r="M28" s="75"/>
    </row>
    <row r="29" spans="1:13" ht="15.75" x14ac:dyDescent="0.25">
      <c r="A29" s="79">
        <v>13</v>
      </c>
      <c r="B29" s="62">
        <v>5000</v>
      </c>
      <c r="C29" s="67">
        <v>5800</v>
      </c>
      <c r="D29" s="71" t="s">
        <v>59</v>
      </c>
      <c r="E29" s="75">
        <v>4350</v>
      </c>
      <c r="F29" s="75">
        <v>1450</v>
      </c>
      <c r="H29" s="79">
        <v>13</v>
      </c>
      <c r="I29" s="62"/>
      <c r="J29" s="67"/>
      <c r="K29" s="71"/>
      <c r="L29" s="75"/>
      <c r="M29" s="75"/>
    </row>
    <row r="30" spans="1:13" ht="15.75" x14ac:dyDescent="0.25">
      <c r="A30" s="79">
        <v>14</v>
      </c>
      <c r="B30" s="62"/>
      <c r="C30" s="67"/>
      <c r="D30" s="71"/>
      <c r="E30" s="75"/>
      <c r="F30" s="75"/>
      <c r="H30" s="79">
        <v>14</v>
      </c>
      <c r="I30" s="62"/>
      <c r="J30" s="67"/>
      <c r="K30" s="71"/>
      <c r="L30" s="75"/>
      <c r="M30" s="75"/>
    </row>
    <row r="31" spans="1:13" ht="15.75" x14ac:dyDescent="0.25">
      <c r="A31" s="79">
        <v>15</v>
      </c>
      <c r="B31" s="64"/>
      <c r="C31" s="68"/>
      <c r="D31" s="72"/>
      <c r="E31" s="76"/>
      <c r="F31" s="75"/>
      <c r="H31" s="79">
        <v>15</v>
      </c>
      <c r="I31" s="64"/>
      <c r="J31" s="68"/>
      <c r="K31" s="72"/>
      <c r="L31" s="76"/>
      <c r="M31" s="75"/>
    </row>
    <row r="32" spans="1:13" ht="15.75" x14ac:dyDescent="0.25">
      <c r="A32" s="79">
        <v>16</v>
      </c>
      <c r="B32" s="64"/>
      <c r="C32" s="68"/>
      <c r="D32" s="72"/>
      <c r="E32" s="76"/>
      <c r="F32" s="75"/>
      <c r="H32" s="79">
        <v>16</v>
      </c>
      <c r="I32" s="64"/>
      <c r="J32" s="68"/>
      <c r="K32" s="72"/>
      <c r="L32" s="76"/>
      <c r="M32" s="75"/>
    </row>
    <row r="33" spans="1:13" ht="15.75" x14ac:dyDescent="0.25">
      <c r="A33" s="58"/>
      <c r="B33" s="64"/>
      <c r="C33" s="68"/>
      <c r="D33" s="72"/>
      <c r="E33" s="76"/>
      <c r="F33" s="78"/>
      <c r="H33" s="58"/>
      <c r="I33" s="64"/>
      <c r="J33" s="68"/>
      <c r="K33" s="72"/>
      <c r="L33" s="76"/>
      <c r="M33" s="78"/>
    </row>
    <row r="34" spans="1:13" ht="16.5" thickBot="1" x14ac:dyDescent="0.3">
      <c r="A34" s="60" t="s">
        <v>46</v>
      </c>
      <c r="B34" s="65">
        <f>SUM(B17+B18+B19+B20+B21+B22+B23+B24+B25+B26+B27+B28+B29+B30+B31+B32)</f>
        <v>59548.439999999995</v>
      </c>
      <c r="C34" s="69">
        <f>SUM(C32+C31+C30+C29+C28+C27+C26+C25+C24+C23+C22+C21+C20+C19+C18+C17)</f>
        <v>69076.2</v>
      </c>
      <c r="D34" s="73"/>
      <c r="E34" s="77">
        <f>SUM(E17+E18+E19+E20+E21+E22+E23+E24+E25+E26+E27+E28+E29+E30+E31+E32)</f>
        <v>51807.149999999994</v>
      </c>
      <c r="F34" s="80">
        <f>SUM(F17+F18+F19+F20+F21+F22+F23+F24+F25+F26+F27+F28+F29+F30+F31+F32)</f>
        <v>17269.055</v>
      </c>
      <c r="H34" s="60" t="s">
        <v>46</v>
      </c>
      <c r="I34" s="65">
        <f>SUM(I17+I18+I19+I20+I21+I22+I23+I24+I25+I26+I27+I28+I29+I30+I31+I32)</f>
        <v>105277.89</v>
      </c>
      <c r="J34" s="69">
        <f>SUM(J32+J31+J30+J29+J28+J27+J26+J25+J24+J23+J22+J21+J20+J19+J18+J17)</f>
        <v>122122.35</v>
      </c>
      <c r="K34" s="73"/>
      <c r="L34" s="77">
        <f>SUM(L17+L18+L19+L20+L21+L22+L23+L24+L25+L26+L27+L28+L29+L30+L31+L32)</f>
        <v>94154.97</v>
      </c>
      <c r="M34" s="80">
        <f>SUM(M17+M18+M19+M20+M21+M22+M23+M24+M25+M26+M27+M28+M29+M30+M31+M32)</f>
        <v>30530.609999999997</v>
      </c>
    </row>
    <row r="36" spans="1:13" ht="15.75" customHeight="1" x14ac:dyDescent="0.5">
      <c r="B36" s="158"/>
      <c r="C36" s="158"/>
      <c r="D36" s="158"/>
      <c r="I36" s="159"/>
      <c r="J36" s="159"/>
    </row>
    <row r="39" spans="1:13" ht="28.5" x14ac:dyDescent="0.45">
      <c r="C39" s="203" t="s">
        <v>246</v>
      </c>
      <c r="K39" s="203" t="s">
        <v>247</v>
      </c>
    </row>
    <row r="52" spans="1:13" ht="15.75" thickBot="1" x14ac:dyDescent="0.3"/>
    <row r="53" spans="1:13" ht="16.5" thickBot="1" x14ac:dyDescent="0.3">
      <c r="A53" s="55" t="s">
        <v>38</v>
      </c>
      <c r="B53" s="56" t="s">
        <v>39</v>
      </c>
      <c r="C53" s="57" t="s">
        <v>41</v>
      </c>
      <c r="D53" s="57" t="s">
        <v>43</v>
      </c>
      <c r="E53" s="56">
        <v>0.75</v>
      </c>
      <c r="F53" s="56">
        <v>0.25</v>
      </c>
      <c r="H53" s="55" t="s">
        <v>38</v>
      </c>
      <c r="I53" s="56" t="s">
        <v>39</v>
      </c>
      <c r="J53" s="57" t="s">
        <v>41</v>
      </c>
      <c r="K53" s="57" t="s">
        <v>43</v>
      </c>
      <c r="L53" s="56">
        <v>0.75</v>
      </c>
      <c r="M53" s="56">
        <v>0.25</v>
      </c>
    </row>
    <row r="54" spans="1:13" ht="16.5" thickBot="1" x14ac:dyDescent="0.3">
      <c r="A54" s="58"/>
      <c r="B54" s="59" t="s">
        <v>40</v>
      </c>
      <c r="C54" s="58" t="s">
        <v>42</v>
      </c>
      <c r="D54" s="58"/>
      <c r="E54" s="57" t="s">
        <v>45</v>
      </c>
      <c r="F54" s="57" t="s">
        <v>44</v>
      </c>
      <c r="H54" s="58"/>
      <c r="I54" s="59" t="s">
        <v>40</v>
      </c>
      <c r="J54" s="58" t="s">
        <v>42</v>
      </c>
      <c r="K54" s="58"/>
      <c r="L54" s="57" t="s">
        <v>45</v>
      </c>
      <c r="M54" s="57" t="s">
        <v>44</v>
      </c>
    </row>
    <row r="55" spans="1:13" ht="16.5" thickBot="1" x14ac:dyDescent="0.3">
      <c r="A55" s="59">
        <v>1</v>
      </c>
      <c r="B55" s="61">
        <v>5131.67</v>
      </c>
      <c r="C55" s="66">
        <v>5952.74</v>
      </c>
      <c r="D55" s="70" t="s">
        <v>293</v>
      </c>
      <c r="E55" s="74">
        <f>C55*0.75</f>
        <v>4464.5550000000003</v>
      </c>
      <c r="F55" s="74">
        <f>C55*0.25</f>
        <v>1488.1849999999999</v>
      </c>
      <c r="H55" s="59">
        <v>1</v>
      </c>
      <c r="I55" s="61"/>
      <c r="J55" s="66"/>
      <c r="K55" s="70"/>
      <c r="L55" s="74"/>
      <c r="M55" s="74"/>
    </row>
    <row r="56" spans="1:13" ht="16.5" thickBot="1" x14ac:dyDescent="0.3">
      <c r="A56" s="79">
        <v>2</v>
      </c>
      <c r="B56" s="62">
        <v>5000</v>
      </c>
      <c r="C56" s="67">
        <f>B56*0.16+B56</f>
        <v>5800</v>
      </c>
      <c r="D56" s="71" t="s">
        <v>294</v>
      </c>
      <c r="E56" s="74">
        <f t="shared" ref="E56:E66" si="0">C56*0.75</f>
        <v>4350</v>
      </c>
      <c r="F56" s="74">
        <f t="shared" ref="F56:F70" si="1">C56*0.25</f>
        <v>1450</v>
      </c>
      <c r="H56" s="79">
        <v>2</v>
      </c>
      <c r="I56" s="62"/>
      <c r="J56" s="67"/>
      <c r="K56" s="71"/>
      <c r="L56" s="75"/>
      <c r="M56" s="75"/>
    </row>
    <row r="57" spans="1:13" ht="16.5" thickBot="1" x14ac:dyDescent="0.3">
      <c r="A57" s="79">
        <v>3</v>
      </c>
      <c r="B57" s="62">
        <v>9087</v>
      </c>
      <c r="C57" s="67">
        <f t="shared" ref="C57:C66" si="2">B57*0.16+B57</f>
        <v>10540.92</v>
      </c>
      <c r="D57" s="71" t="s">
        <v>295</v>
      </c>
      <c r="E57" s="74">
        <f t="shared" si="0"/>
        <v>7905.6900000000005</v>
      </c>
      <c r="F57" s="74">
        <f t="shared" si="1"/>
        <v>2635.23</v>
      </c>
      <c r="H57" s="79">
        <v>3</v>
      </c>
      <c r="I57" s="62"/>
      <c r="J57" s="67"/>
      <c r="K57" s="71"/>
      <c r="L57" s="75"/>
      <c r="M57" s="75"/>
    </row>
    <row r="58" spans="1:13" ht="16.5" thickBot="1" x14ac:dyDescent="0.3">
      <c r="A58" s="79">
        <v>4</v>
      </c>
      <c r="B58" s="62" t="s">
        <v>344</v>
      </c>
      <c r="C58" s="67" t="e">
        <f t="shared" si="2"/>
        <v>#VALUE!</v>
      </c>
      <c r="D58" s="71" t="s">
        <v>297</v>
      </c>
      <c r="E58" s="74" t="e">
        <f t="shared" si="0"/>
        <v>#VALUE!</v>
      </c>
      <c r="F58" s="74" t="e">
        <f t="shared" si="1"/>
        <v>#VALUE!</v>
      </c>
      <c r="H58" s="79">
        <v>4</v>
      </c>
      <c r="I58" s="62"/>
      <c r="J58" s="67"/>
      <c r="K58" s="71"/>
      <c r="L58" s="75"/>
      <c r="M58" s="75"/>
    </row>
    <row r="59" spans="1:13" ht="16.5" thickBot="1" x14ac:dyDescent="0.3">
      <c r="A59" s="79">
        <v>5</v>
      </c>
      <c r="B59" s="62">
        <v>5000</v>
      </c>
      <c r="C59" s="67">
        <f t="shared" si="2"/>
        <v>5800</v>
      </c>
      <c r="D59" s="71" t="s">
        <v>296</v>
      </c>
      <c r="E59" s="74">
        <f t="shared" si="0"/>
        <v>4350</v>
      </c>
      <c r="F59" s="74">
        <f t="shared" si="1"/>
        <v>1450</v>
      </c>
      <c r="H59" s="79">
        <v>5</v>
      </c>
      <c r="I59" s="62"/>
      <c r="J59" s="67"/>
      <c r="K59" s="71"/>
      <c r="L59" s="75"/>
      <c r="M59" s="75"/>
    </row>
    <row r="60" spans="1:13" ht="16.5" thickBot="1" x14ac:dyDescent="0.3">
      <c r="A60" s="79">
        <v>6</v>
      </c>
      <c r="B60" s="63">
        <v>5330.76</v>
      </c>
      <c r="C60" s="67">
        <f t="shared" si="2"/>
        <v>6183.6815999999999</v>
      </c>
      <c r="D60" s="71" t="s">
        <v>298</v>
      </c>
      <c r="E60" s="74">
        <f t="shared" si="0"/>
        <v>4637.7611999999999</v>
      </c>
      <c r="F60" s="74">
        <f t="shared" si="1"/>
        <v>1545.9204</v>
      </c>
      <c r="H60" s="79">
        <v>6</v>
      </c>
      <c r="I60" s="63"/>
      <c r="J60" s="67"/>
      <c r="K60" s="71"/>
      <c r="L60" s="75"/>
      <c r="M60" s="75"/>
    </row>
    <row r="61" spans="1:13" ht="16.5" thickBot="1" x14ac:dyDescent="0.3">
      <c r="A61" s="79">
        <v>7</v>
      </c>
      <c r="B61" s="62">
        <v>5000</v>
      </c>
      <c r="C61" s="67">
        <f t="shared" si="2"/>
        <v>5800</v>
      </c>
      <c r="D61" s="71" t="s">
        <v>299</v>
      </c>
      <c r="E61" s="74">
        <f t="shared" si="0"/>
        <v>4350</v>
      </c>
      <c r="F61" s="74">
        <f t="shared" si="1"/>
        <v>1450</v>
      </c>
      <c r="H61" s="79">
        <v>7</v>
      </c>
      <c r="I61" s="62"/>
      <c r="J61" s="67"/>
      <c r="K61" s="71"/>
      <c r="L61" s="75"/>
      <c r="M61" s="75"/>
    </row>
    <row r="62" spans="1:13" ht="16.5" thickBot="1" x14ac:dyDescent="0.3">
      <c r="A62" s="79">
        <v>8</v>
      </c>
      <c r="B62" s="62">
        <v>16464</v>
      </c>
      <c r="C62" s="67">
        <f t="shared" si="2"/>
        <v>19098.240000000002</v>
      </c>
      <c r="D62" s="71" t="s">
        <v>300</v>
      </c>
      <c r="E62" s="74">
        <f t="shared" si="0"/>
        <v>14323.68</v>
      </c>
      <c r="F62" s="74">
        <f t="shared" si="1"/>
        <v>4774.5600000000004</v>
      </c>
      <c r="H62" s="79">
        <v>8</v>
      </c>
      <c r="I62" s="62"/>
      <c r="J62" s="67"/>
      <c r="K62" s="71"/>
      <c r="L62" s="75"/>
      <c r="M62" s="75"/>
    </row>
    <row r="63" spans="1:13" ht="16.5" thickBot="1" x14ac:dyDescent="0.3">
      <c r="A63" s="79">
        <v>9</v>
      </c>
      <c r="B63" s="62">
        <v>50914.95</v>
      </c>
      <c r="C63" s="67">
        <f t="shared" si="2"/>
        <v>59061.341999999997</v>
      </c>
      <c r="D63" s="71" t="s">
        <v>304</v>
      </c>
      <c r="E63" s="74">
        <f t="shared" si="0"/>
        <v>44296.006499999996</v>
      </c>
      <c r="F63" s="74">
        <f t="shared" si="1"/>
        <v>14765.335499999999</v>
      </c>
      <c r="H63" s="79">
        <v>9</v>
      </c>
      <c r="I63" s="62"/>
      <c r="J63" s="67"/>
      <c r="K63" s="71"/>
      <c r="L63" s="75"/>
      <c r="M63" s="75"/>
    </row>
    <row r="64" spans="1:13" ht="16.5" thickBot="1" x14ac:dyDescent="0.3">
      <c r="A64" s="79">
        <v>10</v>
      </c>
      <c r="B64" s="62">
        <v>9087</v>
      </c>
      <c r="C64" s="67">
        <f t="shared" si="2"/>
        <v>10540.92</v>
      </c>
      <c r="D64" s="71" t="s">
        <v>305</v>
      </c>
      <c r="E64" s="74">
        <f t="shared" si="0"/>
        <v>7905.6900000000005</v>
      </c>
      <c r="F64" s="74">
        <f t="shared" si="1"/>
        <v>2635.23</v>
      </c>
      <c r="H64" s="79">
        <v>10</v>
      </c>
      <c r="I64" s="62"/>
      <c r="J64" s="67"/>
      <c r="K64" s="71"/>
      <c r="L64" s="75"/>
      <c r="M64" s="75"/>
    </row>
    <row r="65" spans="1:13" ht="16.5" thickBot="1" x14ac:dyDescent="0.3">
      <c r="A65" s="79">
        <v>11</v>
      </c>
      <c r="B65" s="62">
        <v>7224.47</v>
      </c>
      <c r="C65" s="67">
        <f t="shared" si="2"/>
        <v>8380.3852000000006</v>
      </c>
      <c r="D65" s="71" t="s">
        <v>336</v>
      </c>
      <c r="E65" s="74">
        <f t="shared" si="0"/>
        <v>6285.2889000000005</v>
      </c>
      <c r="F65" s="74">
        <f t="shared" si="1"/>
        <v>2095.0963000000002</v>
      </c>
      <c r="H65" s="79">
        <v>11</v>
      </c>
      <c r="I65" s="62"/>
      <c r="J65" s="67"/>
      <c r="K65" s="71"/>
      <c r="L65" s="75"/>
      <c r="M65" s="75"/>
    </row>
    <row r="66" spans="1:13" ht="16.5" thickBot="1" x14ac:dyDescent="0.3">
      <c r="A66" s="79">
        <v>12</v>
      </c>
      <c r="B66" s="62">
        <v>5000</v>
      </c>
      <c r="C66" s="67">
        <f t="shared" si="2"/>
        <v>5800</v>
      </c>
      <c r="D66" s="71" t="s">
        <v>337</v>
      </c>
      <c r="E66" s="74">
        <f t="shared" si="0"/>
        <v>4350</v>
      </c>
      <c r="F66" s="74">
        <f t="shared" si="1"/>
        <v>1450</v>
      </c>
      <c r="H66" s="79">
        <v>12</v>
      </c>
      <c r="I66" s="62"/>
      <c r="J66" s="67"/>
      <c r="K66" s="71"/>
      <c r="L66" s="75"/>
      <c r="M66" s="75"/>
    </row>
    <row r="67" spans="1:13" ht="15.75" x14ac:dyDescent="0.25">
      <c r="A67" s="79">
        <v>13</v>
      </c>
      <c r="B67" s="62">
        <v>15000</v>
      </c>
      <c r="C67" s="67">
        <f>B67*0.16+B67</f>
        <v>17400</v>
      </c>
      <c r="D67" s="71" t="s">
        <v>338</v>
      </c>
      <c r="E67" s="74">
        <f>C67*0.75</f>
        <v>13050</v>
      </c>
      <c r="F67" s="74">
        <f>C67*0.25</f>
        <v>4350</v>
      </c>
      <c r="H67" s="79">
        <v>13</v>
      </c>
      <c r="I67" s="62"/>
      <c r="J67" s="67"/>
      <c r="K67" s="71"/>
      <c r="L67" s="75"/>
      <c r="M67" s="75"/>
    </row>
    <row r="68" spans="1:13" ht="15.75" x14ac:dyDescent="0.25">
      <c r="A68" s="79">
        <v>14</v>
      </c>
      <c r="B68" s="62">
        <v>7908.78</v>
      </c>
      <c r="C68" s="67">
        <f>B68*0.16+B68</f>
        <v>9174.1847999999991</v>
      </c>
      <c r="D68" s="71" t="s">
        <v>339</v>
      </c>
      <c r="E68" s="75">
        <f>C68*0.75</f>
        <v>6880.6385999999993</v>
      </c>
      <c r="F68" s="75">
        <f t="shared" si="1"/>
        <v>2293.5461999999998</v>
      </c>
      <c r="H68" s="79">
        <v>14</v>
      </c>
      <c r="I68" s="62"/>
      <c r="J68" s="67"/>
      <c r="K68" s="71"/>
      <c r="L68" s="75"/>
      <c r="M68" s="75"/>
    </row>
    <row r="69" spans="1:13" ht="15.75" x14ac:dyDescent="0.25">
      <c r="A69" s="79">
        <v>15</v>
      </c>
      <c r="B69" s="64">
        <v>24863.13</v>
      </c>
      <c r="C69" s="68">
        <f>B69*0.16+B69</f>
        <v>28841.230800000001</v>
      </c>
      <c r="D69" s="71" t="s">
        <v>340</v>
      </c>
      <c r="E69" s="76">
        <f>C69*0.75</f>
        <v>21630.9231</v>
      </c>
      <c r="F69" s="75">
        <f t="shared" si="1"/>
        <v>7210.3077000000003</v>
      </c>
      <c r="H69" s="79">
        <v>15</v>
      </c>
      <c r="I69" s="64"/>
      <c r="J69" s="68"/>
      <c r="K69" s="72"/>
      <c r="L69" s="76"/>
      <c r="M69" s="75"/>
    </row>
    <row r="70" spans="1:13" ht="15.75" x14ac:dyDescent="0.25">
      <c r="A70" s="79">
        <v>16</v>
      </c>
      <c r="B70" s="64">
        <v>5000</v>
      </c>
      <c r="C70" s="68">
        <f>B70*0.16+B70</f>
        <v>5800</v>
      </c>
      <c r="D70" s="71" t="s">
        <v>341</v>
      </c>
      <c r="E70" s="76">
        <f>C70*0.75</f>
        <v>4350</v>
      </c>
      <c r="F70" s="75">
        <f t="shared" si="1"/>
        <v>1450</v>
      </c>
      <c r="H70" s="79">
        <v>16</v>
      </c>
      <c r="I70" s="64"/>
      <c r="J70" s="68"/>
      <c r="K70" s="72"/>
      <c r="L70" s="76"/>
      <c r="M70" s="75"/>
    </row>
    <row r="71" spans="1:13" ht="15.75" x14ac:dyDescent="0.25">
      <c r="A71" s="58"/>
      <c r="B71" s="64"/>
      <c r="C71" s="68"/>
      <c r="D71" s="72"/>
      <c r="E71" s="76"/>
      <c r="F71" s="78"/>
      <c r="H71" s="58"/>
      <c r="I71" s="64"/>
      <c r="J71" s="68"/>
      <c r="K71" s="72"/>
      <c r="L71" s="76"/>
      <c r="M71" s="78"/>
    </row>
    <row r="72" spans="1:13" ht="16.5" thickBot="1" x14ac:dyDescent="0.3">
      <c r="A72" s="60" t="s">
        <v>46</v>
      </c>
      <c r="B72" s="65" t="e">
        <f>SUM(B55+B56+B57+B58+B59+B60+B61+B62+B63+B64+B65+B66+B67+B68+B69+B70)</f>
        <v>#VALUE!</v>
      </c>
      <c r="C72" s="69" t="e">
        <f>SUM(C70+C69+C68+C67+C66+C65+C64+C63+C62+C61+C60+C59+C58+C57+C56+C55)</f>
        <v>#VALUE!</v>
      </c>
      <c r="D72" s="73"/>
      <c r="E72" s="77" t="e">
        <f>SUM(E55+E56+E57+E58+E59+E60+E61+E62+E63+E64+E65+E66+E67+E68+E69+E70)</f>
        <v>#VALUE!</v>
      </c>
      <c r="F72" s="80" t="e">
        <f>SUM(F55+F56+F57+F58+F59+F60+F61+F62+F63+F64+F65+F66+F67+F68+F69+F70)</f>
        <v>#VALUE!</v>
      </c>
      <c r="H72" s="60" t="s">
        <v>46</v>
      </c>
      <c r="I72" s="65">
        <f>SUM(I55+I56+I57+I58+I59+I60+I61+I62+I63+I64+I65+I66+I67+I68+I69+I70)</f>
        <v>0</v>
      </c>
      <c r="J72" s="69">
        <f>SUM(J70+J69+J68+J67+J66+J65+J64+J63+J62+J61+J60+J59+J58+J57+J56+J55)</f>
        <v>0</v>
      </c>
      <c r="K72" s="73"/>
      <c r="L72" s="77">
        <f>SUM(L55+L56+L57+L58+L59+L60+L61+L62+L63+L64+L65+L66+L67+L68+L69+L70)</f>
        <v>0</v>
      </c>
      <c r="M72" s="80">
        <f>SUM(M55+M56+M57+M58+M59+M60+M61+M62+M63+M64+M65+M66+M67+M68+M69+M70)</f>
        <v>0</v>
      </c>
    </row>
    <row r="85" spans="6:9" x14ac:dyDescent="0.25">
      <c r="F85">
        <f>F92-I91</f>
        <v>1390222.25</v>
      </c>
    </row>
    <row r="91" spans="6:9" x14ac:dyDescent="0.25">
      <c r="I91">
        <v>14482294.59</v>
      </c>
    </row>
    <row r="92" spans="6:9" x14ac:dyDescent="0.25">
      <c r="F92">
        <v>15872516.84</v>
      </c>
    </row>
  </sheetData>
  <pageMargins left="0.7" right="0.7" top="0.75" bottom="0.75" header="0.3" footer="0.3"/>
  <pageSetup scale="33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5D4F-0D5C-4E9C-ADD0-82B7C450F6F9}">
  <dimension ref="A11:K52"/>
  <sheetViews>
    <sheetView topLeftCell="A34" workbookViewId="0">
      <selection activeCell="F52" sqref="F52"/>
    </sheetView>
  </sheetViews>
  <sheetFormatPr defaultRowHeight="15" x14ac:dyDescent="0.25"/>
  <cols>
    <col min="2" max="2" width="28.140625" customWidth="1"/>
    <col min="3" max="3" width="18" customWidth="1"/>
    <col min="4" max="4" width="18.28515625" customWidth="1"/>
    <col min="5" max="6" width="18.140625" customWidth="1"/>
    <col min="10" max="10" width="21.85546875" customWidth="1"/>
    <col min="11" max="11" width="19.140625" customWidth="1"/>
  </cols>
  <sheetData>
    <row r="11" spans="1:6" ht="15.75" thickBot="1" x14ac:dyDescent="0.3"/>
    <row r="12" spans="1:6" ht="16.5" thickBot="1" x14ac:dyDescent="0.3">
      <c r="A12" s="55" t="s">
        <v>38</v>
      </c>
      <c r="B12" s="56" t="s">
        <v>39</v>
      </c>
      <c r="C12" s="57" t="s">
        <v>41</v>
      </c>
      <c r="D12" s="57" t="s">
        <v>65</v>
      </c>
      <c r="E12" s="56">
        <v>0.5</v>
      </c>
      <c r="F12" s="56">
        <v>0.5</v>
      </c>
    </row>
    <row r="13" spans="1:6" ht="16.5" thickBot="1" x14ac:dyDescent="0.3">
      <c r="A13" s="58"/>
      <c r="B13" s="59" t="s">
        <v>40</v>
      </c>
      <c r="C13" s="58" t="s">
        <v>42</v>
      </c>
      <c r="D13" s="58"/>
      <c r="E13" s="57" t="s">
        <v>66</v>
      </c>
      <c r="F13" s="57" t="s">
        <v>44</v>
      </c>
    </row>
    <row r="14" spans="1:6" ht="16.5" thickBot="1" x14ac:dyDescent="0.3">
      <c r="A14" s="59">
        <v>1</v>
      </c>
      <c r="B14" s="61">
        <v>5000</v>
      </c>
      <c r="C14" s="135">
        <v>5800</v>
      </c>
      <c r="D14" s="138" t="s">
        <v>67</v>
      </c>
      <c r="E14" s="137">
        <v>2900</v>
      </c>
      <c r="F14" s="74">
        <v>2900</v>
      </c>
    </row>
    <row r="15" spans="1:6" ht="16.5" thickBot="1" x14ac:dyDescent="0.3">
      <c r="A15" s="79">
        <v>2</v>
      </c>
      <c r="B15" s="62">
        <v>5000</v>
      </c>
      <c r="C15" s="136">
        <v>5800</v>
      </c>
      <c r="D15" s="138" t="s">
        <v>68</v>
      </c>
      <c r="E15" s="137">
        <v>2900</v>
      </c>
      <c r="F15" s="74">
        <v>2900</v>
      </c>
    </row>
    <row r="16" spans="1:6" ht="16.5" thickBot="1" x14ac:dyDescent="0.3">
      <c r="A16" s="79">
        <v>3</v>
      </c>
      <c r="B16" s="62">
        <v>5000</v>
      </c>
      <c r="C16" s="136">
        <v>5800</v>
      </c>
      <c r="D16" s="138" t="s">
        <v>67</v>
      </c>
      <c r="E16" s="137">
        <v>2900</v>
      </c>
      <c r="F16" s="74">
        <v>2900</v>
      </c>
    </row>
    <row r="17" spans="1:6" ht="16.5" thickBot="1" x14ac:dyDescent="0.3">
      <c r="A17" s="79">
        <v>4</v>
      </c>
      <c r="B17" s="62">
        <v>5000</v>
      </c>
      <c r="C17" s="136">
        <v>5800</v>
      </c>
      <c r="D17" s="138" t="s">
        <v>67</v>
      </c>
      <c r="E17" s="137">
        <v>2900</v>
      </c>
      <c r="F17" s="74">
        <v>2900</v>
      </c>
    </row>
    <row r="18" spans="1:6" ht="16.5" thickBot="1" x14ac:dyDescent="0.3">
      <c r="A18" s="79">
        <v>5</v>
      </c>
      <c r="B18" s="62">
        <v>5000</v>
      </c>
      <c r="C18" s="136">
        <v>5800</v>
      </c>
      <c r="D18" s="138" t="s">
        <v>69</v>
      </c>
      <c r="E18" s="137">
        <v>2900</v>
      </c>
      <c r="F18" s="74">
        <v>2900</v>
      </c>
    </row>
    <row r="19" spans="1:6" ht="16.5" thickBot="1" x14ac:dyDescent="0.3">
      <c r="A19" s="79">
        <v>6</v>
      </c>
      <c r="B19" s="62">
        <v>5000</v>
      </c>
      <c r="C19" s="136">
        <v>5800</v>
      </c>
      <c r="D19" s="138" t="s">
        <v>67</v>
      </c>
      <c r="E19" s="137">
        <v>2900</v>
      </c>
      <c r="F19" s="74">
        <v>2900</v>
      </c>
    </row>
    <row r="20" spans="1:6" ht="16.5" thickBot="1" x14ac:dyDescent="0.3">
      <c r="A20" s="79">
        <v>7</v>
      </c>
      <c r="B20" s="62">
        <v>5000</v>
      </c>
      <c r="C20" s="136">
        <v>5800</v>
      </c>
      <c r="D20" s="138" t="s">
        <v>67</v>
      </c>
      <c r="E20" s="137">
        <v>2900</v>
      </c>
      <c r="F20" s="74">
        <v>2900</v>
      </c>
    </row>
    <row r="21" spans="1:6" ht="15.75" x14ac:dyDescent="0.25">
      <c r="A21" s="79">
        <v>8</v>
      </c>
      <c r="B21" s="62">
        <v>5000</v>
      </c>
      <c r="C21" s="136">
        <v>5800</v>
      </c>
      <c r="D21" s="138" t="s">
        <v>67</v>
      </c>
      <c r="E21" s="137">
        <v>2900</v>
      </c>
      <c r="F21" s="74">
        <v>2900</v>
      </c>
    </row>
    <row r="22" spans="1:6" ht="15.75" x14ac:dyDescent="0.25">
      <c r="A22" s="79" t="s">
        <v>64</v>
      </c>
      <c r="B22" s="63">
        <f>SUM(B18+B17+B16+B15+B14+B19+B20+B21)</f>
        <v>40000</v>
      </c>
      <c r="C22" s="67">
        <f>SUM(C18+C17+C16+C15+C14+C20+C19+C21)</f>
        <v>46400</v>
      </c>
      <c r="D22" s="71" t="s">
        <v>70</v>
      </c>
      <c r="E22" s="75">
        <f>SUM(E14+E15+E16+E17+E18+E19+E20+E21)</f>
        <v>23200</v>
      </c>
      <c r="F22" s="75">
        <f>SUM(F18+F17+F16+F15+F14+F19+F20+F21)</f>
        <v>23200</v>
      </c>
    </row>
    <row r="23" spans="1:6" ht="15.75" x14ac:dyDescent="0.25">
      <c r="A23" s="132"/>
      <c r="B23" s="133"/>
      <c r="C23" s="134"/>
      <c r="D23" s="81"/>
      <c r="E23" s="133"/>
      <c r="F23" s="133"/>
    </row>
    <row r="24" spans="1:6" ht="15.75" x14ac:dyDescent="0.25">
      <c r="A24" s="132"/>
      <c r="B24" s="133"/>
      <c r="C24" s="134"/>
      <c r="D24" s="81"/>
      <c r="E24" s="133"/>
      <c r="F24" s="133"/>
    </row>
    <row r="25" spans="1:6" ht="15.75" x14ac:dyDescent="0.25">
      <c r="A25" s="132"/>
      <c r="B25" s="133"/>
      <c r="C25" s="134"/>
      <c r="D25" s="81"/>
      <c r="E25" s="133"/>
      <c r="F25" s="133"/>
    </row>
    <row r="26" spans="1:6" ht="15.75" thickBot="1" x14ac:dyDescent="0.3"/>
    <row r="27" spans="1:6" ht="15.75" thickBot="1" x14ac:dyDescent="0.3">
      <c r="B27" s="104" t="s">
        <v>73</v>
      </c>
      <c r="C27" s="105" t="s">
        <v>72</v>
      </c>
    </row>
    <row r="28" spans="1:6" x14ac:dyDescent="0.25">
      <c r="B28" s="101" t="s">
        <v>74</v>
      </c>
      <c r="C28" s="102">
        <v>1600</v>
      </c>
    </row>
    <row r="29" spans="1:6" x14ac:dyDescent="0.25">
      <c r="B29" s="101" t="s">
        <v>74</v>
      </c>
      <c r="C29" s="102">
        <v>1600</v>
      </c>
    </row>
    <row r="30" spans="1:6" x14ac:dyDescent="0.25">
      <c r="B30" s="101" t="s">
        <v>74</v>
      </c>
      <c r="C30" s="102">
        <v>1600</v>
      </c>
    </row>
    <row r="31" spans="1:6" x14ac:dyDescent="0.25">
      <c r="B31" s="101" t="s">
        <v>74</v>
      </c>
      <c r="C31" s="102">
        <v>1600</v>
      </c>
    </row>
    <row r="32" spans="1:6" x14ac:dyDescent="0.25">
      <c r="B32" s="101" t="s">
        <v>74</v>
      </c>
      <c r="C32" s="102">
        <v>1600</v>
      </c>
    </row>
    <row r="33" spans="1:11" x14ac:dyDescent="0.25">
      <c r="B33" s="101" t="s">
        <v>74</v>
      </c>
      <c r="C33" s="102">
        <v>1600</v>
      </c>
    </row>
    <row r="34" spans="1:11" ht="15.75" thickBot="1" x14ac:dyDescent="0.3">
      <c r="B34" s="101" t="s">
        <v>74</v>
      </c>
      <c r="C34" s="103">
        <v>1600</v>
      </c>
    </row>
    <row r="35" spans="1:11" ht="15.75" thickBot="1" x14ac:dyDescent="0.3">
      <c r="B35" s="104" t="s">
        <v>71</v>
      </c>
      <c r="C35" s="106">
        <f>SUM(C34+C30+C29+C28+C31+C32+C33)</f>
        <v>11200</v>
      </c>
    </row>
    <row r="39" spans="1:11" ht="15.75" thickBot="1" x14ac:dyDescent="0.3"/>
    <row r="40" spans="1:11" ht="16.5" thickBot="1" x14ac:dyDescent="0.3">
      <c r="A40" s="55" t="s">
        <v>38</v>
      </c>
      <c r="B40" s="56" t="s">
        <v>39</v>
      </c>
      <c r="C40" s="57" t="s">
        <v>41</v>
      </c>
      <c r="D40" s="292" t="s">
        <v>65</v>
      </c>
      <c r="E40" s="291">
        <v>0.5</v>
      </c>
      <c r="F40" s="56">
        <v>0.5</v>
      </c>
    </row>
    <row r="41" spans="1:11" ht="16.5" thickBot="1" x14ac:dyDescent="0.3">
      <c r="A41" s="58"/>
      <c r="B41" s="59" t="s">
        <v>40</v>
      </c>
      <c r="C41" s="58" t="s">
        <v>42</v>
      </c>
      <c r="D41" s="293"/>
      <c r="E41" s="294" t="s">
        <v>66</v>
      </c>
      <c r="F41" s="59" t="s">
        <v>44</v>
      </c>
      <c r="J41" s="104" t="s">
        <v>73</v>
      </c>
      <c r="K41" s="105" t="s">
        <v>72</v>
      </c>
    </row>
    <row r="42" spans="1:11" ht="16.5" thickBot="1" x14ac:dyDescent="0.3">
      <c r="A42" s="59">
        <v>1</v>
      </c>
      <c r="B42" s="61">
        <v>5000</v>
      </c>
      <c r="C42" s="135">
        <v>5800</v>
      </c>
      <c r="D42" s="138" t="s">
        <v>67</v>
      </c>
      <c r="E42" s="137">
        <v>2900</v>
      </c>
      <c r="F42" s="74">
        <v>2900</v>
      </c>
      <c r="J42" s="101" t="s">
        <v>74</v>
      </c>
      <c r="K42" s="102">
        <v>1600</v>
      </c>
    </row>
    <row r="43" spans="1:11" ht="16.5" thickBot="1" x14ac:dyDescent="0.3">
      <c r="A43" s="79">
        <v>2</v>
      </c>
      <c r="B43" s="62">
        <v>5000</v>
      </c>
      <c r="C43" s="136">
        <v>5800</v>
      </c>
      <c r="D43" s="138" t="s">
        <v>68</v>
      </c>
      <c r="E43" s="137">
        <v>2900</v>
      </c>
      <c r="F43" s="74">
        <v>2900</v>
      </c>
      <c r="J43" s="101" t="s">
        <v>74</v>
      </c>
      <c r="K43" s="102">
        <v>1600</v>
      </c>
    </row>
    <row r="44" spans="1:11" ht="16.5" thickBot="1" x14ac:dyDescent="0.3">
      <c r="A44" s="79">
        <v>3</v>
      </c>
      <c r="B44" s="62">
        <v>5000</v>
      </c>
      <c r="C44" s="136">
        <v>5800</v>
      </c>
      <c r="D44" s="138" t="s">
        <v>67</v>
      </c>
      <c r="E44" s="137">
        <v>2900</v>
      </c>
      <c r="F44" s="74">
        <v>2900</v>
      </c>
      <c r="J44" s="101" t="s">
        <v>74</v>
      </c>
      <c r="K44" s="102">
        <v>1600</v>
      </c>
    </row>
    <row r="45" spans="1:11" ht="16.5" thickBot="1" x14ac:dyDescent="0.3">
      <c r="A45" s="79">
        <v>4</v>
      </c>
      <c r="B45" s="62">
        <v>7500</v>
      </c>
      <c r="C45" s="136">
        <f>B45*0.16+B45</f>
        <v>8700</v>
      </c>
      <c r="D45" s="138" t="s">
        <v>67</v>
      </c>
      <c r="E45" s="137">
        <v>4350</v>
      </c>
      <c r="F45" s="74">
        <v>4350</v>
      </c>
      <c r="J45" s="101" t="s">
        <v>74</v>
      </c>
      <c r="K45" s="102">
        <v>1600</v>
      </c>
    </row>
    <row r="46" spans="1:11" ht="16.5" thickBot="1" x14ac:dyDescent="0.3">
      <c r="A46" s="79">
        <v>5</v>
      </c>
      <c r="B46" s="62">
        <v>7500</v>
      </c>
      <c r="C46" s="136">
        <f>B46*0.16+B46</f>
        <v>8700</v>
      </c>
      <c r="D46" s="138" t="s">
        <v>67</v>
      </c>
      <c r="E46" s="137">
        <f>C46*0.5</f>
        <v>4350</v>
      </c>
      <c r="F46" s="74">
        <v>4350</v>
      </c>
      <c r="J46" s="101" t="s">
        <v>74</v>
      </c>
      <c r="K46" s="102">
        <v>1600</v>
      </c>
    </row>
    <row r="47" spans="1:11" ht="16.5" thickBot="1" x14ac:dyDescent="0.3">
      <c r="A47" s="79">
        <v>6</v>
      </c>
      <c r="B47" s="62">
        <v>5000</v>
      </c>
      <c r="C47" s="136">
        <v>5800</v>
      </c>
      <c r="D47" s="138" t="s">
        <v>69</v>
      </c>
      <c r="E47" s="137">
        <v>2900</v>
      </c>
      <c r="F47" s="74">
        <v>2900</v>
      </c>
      <c r="J47" s="101" t="s">
        <v>74</v>
      </c>
      <c r="K47" s="102">
        <v>1600</v>
      </c>
    </row>
    <row r="48" spans="1:11" ht="16.5" thickBot="1" x14ac:dyDescent="0.3">
      <c r="A48" s="79">
        <v>7</v>
      </c>
      <c r="B48" s="62">
        <v>5000</v>
      </c>
      <c r="C48" s="136">
        <v>5800</v>
      </c>
      <c r="D48" s="138" t="s">
        <v>360</v>
      </c>
      <c r="E48" s="137">
        <v>2900</v>
      </c>
      <c r="F48" s="74">
        <v>2900</v>
      </c>
      <c r="J48" s="101" t="s">
        <v>74</v>
      </c>
      <c r="K48" s="102">
        <v>1600</v>
      </c>
    </row>
    <row r="49" spans="1:11" ht="15.75" x14ac:dyDescent="0.25">
      <c r="A49" s="79">
        <v>8</v>
      </c>
      <c r="B49" s="62">
        <v>5000</v>
      </c>
      <c r="C49" s="136">
        <v>5800</v>
      </c>
      <c r="D49" s="138" t="s">
        <v>67</v>
      </c>
      <c r="E49" s="137">
        <v>2900</v>
      </c>
      <c r="F49" s="74">
        <v>2900</v>
      </c>
      <c r="J49" s="290" t="s">
        <v>74</v>
      </c>
      <c r="K49" s="290">
        <v>1600</v>
      </c>
    </row>
    <row r="50" spans="1:11" ht="15.75" x14ac:dyDescent="0.25">
      <c r="A50" s="79" t="s">
        <v>64</v>
      </c>
      <c r="B50" s="63">
        <f>SUM(B47+B46+B44+B43+B42+B49+B45+B48)</f>
        <v>45000</v>
      </c>
      <c r="C50" s="67">
        <f>SUM(C47+C46+C44+C43+C42+C49+C45+C48)</f>
        <v>52200</v>
      </c>
      <c r="D50" s="71" t="s">
        <v>70</v>
      </c>
      <c r="E50" s="75">
        <f>SUM(E42+E43+E44+E46+E47+E49+E45+E48)</f>
        <v>26100</v>
      </c>
      <c r="F50" s="75">
        <f>SUM(F47+F46+F44+F43+F42+F49+F45+F48)</f>
        <v>26100</v>
      </c>
      <c r="J50" s="295" t="s">
        <v>270</v>
      </c>
      <c r="K50" s="296">
        <f>K42+K43+K44+K45+K46+K47+K48+K49</f>
        <v>12800</v>
      </c>
    </row>
    <row r="52" spans="1:11" x14ac:dyDescent="0.25">
      <c r="F52" s="297">
        <f>F50+K50+29878.73</f>
        <v>68778.73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CFC4-1F57-439A-B5ED-F565D3A0F3EA}">
  <dimension ref="A10:H29"/>
  <sheetViews>
    <sheetView workbookViewId="0">
      <selection activeCell="D18" sqref="D18"/>
    </sheetView>
  </sheetViews>
  <sheetFormatPr defaultRowHeight="15" x14ac:dyDescent="0.25"/>
  <cols>
    <col min="2" max="2" width="27" customWidth="1"/>
    <col min="3" max="3" width="35.42578125" customWidth="1"/>
    <col min="4" max="4" width="39.42578125" customWidth="1"/>
    <col min="7" max="7" width="30" customWidth="1"/>
    <col min="8" max="8" width="30.5703125" customWidth="1"/>
  </cols>
  <sheetData>
    <row r="10" spans="1:8" ht="15.75" x14ac:dyDescent="0.25">
      <c r="A10" s="81"/>
      <c r="B10" s="81"/>
      <c r="C10" s="82" t="s">
        <v>249</v>
      </c>
      <c r="D10" s="81"/>
      <c r="E10" s="81"/>
    </row>
    <row r="11" spans="1:8" ht="16.5" thickBot="1" x14ac:dyDescent="0.3">
      <c r="A11" s="81"/>
      <c r="B11" s="81"/>
      <c r="C11" s="81"/>
      <c r="D11" s="81"/>
      <c r="E11" s="81"/>
      <c r="F11" s="81"/>
      <c r="G11" s="81"/>
      <c r="H11" s="81"/>
    </row>
    <row r="12" spans="1:8" ht="30.75" customHeight="1" thickBot="1" x14ac:dyDescent="0.3">
      <c r="A12" s="81"/>
      <c r="B12" s="160" t="s">
        <v>133</v>
      </c>
      <c r="C12" s="164" t="s">
        <v>134</v>
      </c>
      <c r="D12" s="165" t="s">
        <v>72</v>
      </c>
      <c r="E12" s="81"/>
      <c r="F12" s="81"/>
      <c r="G12" s="164" t="s">
        <v>134</v>
      </c>
      <c r="H12" s="165" t="s">
        <v>72</v>
      </c>
    </row>
    <row r="13" spans="1:8" ht="15.75" x14ac:dyDescent="0.25">
      <c r="A13" s="81"/>
      <c r="B13" s="161" t="s">
        <v>137</v>
      </c>
      <c r="C13" s="161" t="s">
        <v>34</v>
      </c>
      <c r="D13" s="167">
        <v>4097.3599999999997</v>
      </c>
      <c r="E13" s="81"/>
      <c r="F13" s="81"/>
      <c r="G13" s="161"/>
      <c r="H13" s="167"/>
    </row>
    <row r="14" spans="1:8" ht="15.75" x14ac:dyDescent="0.25">
      <c r="A14" s="81"/>
      <c r="B14" s="166">
        <v>46000</v>
      </c>
      <c r="C14" s="162" t="s">
        <v>135</v>
      </c>
      <c r="D14" s="168">
        <v>1469.95</v>
      </c>
      <c r="E14" s="81"/>
      <c r="F14" s="81"/>
      <c r="G14" s="162"/>
      <c r="H14" s="168"/>
    </row>
    <row r="15" spans="1:8" ht="15.75" x14ac:dyDescent="0.25">
      <c r="A15" s="81"/>
      <c r="B15" s="162" t="s">
        <v>138</v>
      </c>
      <c r="C15" s="162" t="s">
        <v>36</v>
      </c>
      <c r="D15" s="168">
        <v>8685.7199999999993</v>
      </c>
      <c r="E15" s="81"/>
      <c r="F15" s="81"/>
      <c r="G15" s="162"/>
      <c r="H15" s="168"/>
    </row>
    <row r="16" spans="1:8" ht="15.75" x14ac:dyDescent="0.25">
      <c r="A16" s="81"/>
      <c r="B16" s="162" t="s">
        <v>139</v>
      </c>
      <c r="C16" s="162" t="s">
        <v>136</v>
      </c>
      <c r="D16" s="169"/>
      <c r="E16" s="81"/>
      <c r="F16" s="81"/>
      <c r="G16" s="162"/>
      <c r="H16" s="169"/>
    </row>
    <row r="17" spans="1:8" ht="15.75" x14ac:dyDescent="0.25">
      <c r="A17" s="81"/>
      <c r="B17" s="166">
        <v>46003</v>
      </c>
      <c r="C17" s="162" t="s">
        <v>37</v>
      </c>
      <c r="D17" s="168">
        <v>5750</v>
      </c>
      <c r="E17" s="81"/>
      <c r="F17" s="81"/>
      <c r="G17" s="162"/>
      <c r="H17" s="168"/>
    </row>
    <row r="18" spans="1:8" ht="16.5" thickBot="1" x14ac:dyDescent="0.3">
      <c r="A18" s="81"/>
      <c r="B18" s="163" t="s">
        <v>250</v>
      </c>
      <c r="C18" s="163"/>
      <c r="D18" s="230">
        <f>D13+D14+D15+D16+D17</f>
        <v>20003.03</v>
      </c>
      <c r="E18" s="81"/>
      <c r="F18" s="81"/>
      <c r="G18" s="163"/>
      <c r="H18" s="230"/>
    </row>
    <row r="19" spans="1:8" ht="15.75" x14ac:dyDescent="0.25">
      <c r="A19" s="81"/>
      <c r="B19" s="81"/>
      <c r="C19" s="81"/>
      <c r="D19" s="81"/>
      <c r="E19" s="81"/>
      <c r="F19" s="81"/>
      <c r="G19" s="81"/>
      <c r="H19" s="81"/>
    </row>
    <row r="20" spans="1:8" ht="15.75" x14ac:dyDescent="0.25">
      <c r="A20" s="81"/>
      <c r="B20" s="81"/>
      <c r="C20" s="81"/>
      <c r="D20" s="81"/>
      <c r="E20" s="81"/>
    </row>
    <row r="21" spans="1:8" ht="15.75" x14ac:dyDescent="0.25">
      <c r="A21" s="81"/>
      <c r="B21" s="81"/>
      <c r="C21" s="81"/>
      <c r="D21" s="81"/>
      <c r="E21" s="81"/>
    </row>
    <row r="22" spans="1:8" ht="15.75" x14ac:dyDescent="0.25">
      <c r="A22" s="81"/>
      <c r="B22" s="81"/>
      <c r="C22" s="81"/>
      <c r="D22" s="81"/>
      <c r="E22" s="81"/>
    </row>
    <row r="23" spans="1:8" ht="16.5" thickBot="1" x14ac:dyDescent="0.3">
      <c r="A23" s="81"/>
      <c r="B23" s="81"/>
      <c r="C23" s="81"/>
      <c r="D23" s="81"/>
      <c r="E23" s="81"/>
    </row>
    <row r="24" spans="1:8" ht="16.5" thickBot="1" x14ac:dyDescent="0.3">
      <c r="A24" s="81"/>
      <c r="B24" s="238" t="s">
        <v>262</v>
      </c>
      <c r="C24" s="55" t="s">
        <v>265</v>
      </c>
      <c r="D24" s="239" t="s">
        <v>264</v>
      </c>
      <c r="E24" s="81"/>
    </row>
    <row r="25" spans="1:8" ht="16.5" thickBot="1" x14ac:dyDescent="0.3">
      <c r="B25" s="240" t="s">
        <v>263</v>
      </c>
      <c r="C25" s="240" t="s">
        <v>269</v>
      </c>
      <c r="D25" s="241">
        <v>36310.94</v>
      </c>
    </row>
    <row r="26" spans="1:8" ht="16.5" thickBot="1" x14ac:dyDescent="0.3">
      <c r="B26" s="242" t="s">
        <v>266</v>
      </c>
      <c r="C26" s="58" t="s">
        <v>271</v>
      </c>
      <c r="D26" s="245">
        <v>107120.54</v>
      </c>
    </row>
    <row r="27" spans="1:8" ht="16.5" thickBot="1" x14ac:dyDescent="0.3">
      <c r="B27" s="243" t="s">
        <v>267</v>
      </c>
      <c r="C27" s="58" t="s">
        <v>271</v>
      </c>
      <c r="D27" s="246">
        <v>33688.230000000003</v>
      </c>
    </row>
    <row r="28" spans="1:8" ht="16.5" thickBot="1" x14ac:dyDescent="0.3">
      <c r="B28" s="244" t="s">
        <v>268</v>
      </c>
      <c r="C28" s="58" t="s">
        <v>271</v>
      </c>
      <c r="D28" s="247">
        <v>76808.95</v>
      </c>
    </row>
    <row r="29" spans="1:8" ht="15.75" thickBot="1" x14ac:dyDescent="0.3">
      <c r="B29" s="104" t="s">
        <v>270</v>
      </c>
      <c r="C29" s="105"/>
      <c r="D29" s="248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DBA6-78EE-4E0A-B4A9-B239F063832C}">
  <dimension ref="A1:G40"/>
  <sheetViews>
    <sheetView topLeftCell="A10" zoomScale="73" workbookViewId="0">
      <selection activeCell="B10" sqref="B10:B11"/>
    </sheetView>
  </sheetViews>
  <sheetFormatPr defaultRowHeight="15" x14ac:dyDescent="0.25"/>
  <cols>
    <col min="1" max="1" width="18.5703125" customWidth="1"/>
    <col min="2" max="2" width="19.140625" customWidth="1"/>
    <col min="3" max="3" width="30" customWidth="1"/>
    <col min="4" max="4" width="28.140625" customWidth="1"/>
    <col min="5" max="5" width="30.28515625" customWidth="1"/>
    <col min="6" max="6" width="27.85546875" customWidth="1"/>
    <col min="7" max="7" width="37.28515625" customWidth="1"/>
  </cols>
  <sheetData>
    <row r="1" spans="1:7" ht="15.75" x14ac:dyDescent="0.25">
      <c r="A1" s="81" t="str">
        <f>+Acess!A1</f>
        <v>Empresa: Mozambique Support Services, Lda</v>
      </c>
      <c r="B1" s="81"/>
      <c r="C1" s="81"/>
      <c r="D1" s="81"/>
      <c r="E1" s="81"/>
      <c r="F1" s="81"/>
      <c r="G1" s="81"/>
    </row>
    <row r="2" spans="1:7" ht="15.75" x14ac:dyDescent="0.25">
      <c r="A2" s="81" t="str">
        <f>+Acess!A2</f>
        <v xml:space="preserve">Nuit: </v>
      </c>
      <c r="B2" s="81"/>
      <c r="C2" s="81"/>
      <c r="D2" s="81"/>
      <c r="E2" s="81"/>
      <c r="F2" s="81"/>
      <c r="G2" s="81"/>
    </row>
    <row r="3" spans="1:7" ht="15.75" x14ac:dyDescent="0.25">
      <c r="A3" s="81" t="str">
        <f>+Acess!A3</f>
        <v xml:space="preserve">Periodo: </v>
      </c>
      <c r="B3" s="81" t="s">
        <v>63</v>
      </c>
      <c r="C3" s="81"/>
      <c r="D3" s="81"/>
      <c r="E3" s="81"/>
      <c r="F3" s="81"/>
      <c r="G3" s="81"/>
    </row>
    <row r="4" spans="1:7" ht="15.75" x14ac:dyDescent="0.25">
      <c r="A4" s="81"/>
      <c r="B4" s="81"/>
      <c r="C4" s="81"/>
      <c r="D4" s="81"/>
      <c r="E4" s="81"/>
      <c r="F4" s="81"/>
      <c r="G4" s="81"/>
    </row>
    <row r="5" spans="1:7" ht="15.75" x14ac:dyDescent="0.25">
      <c r="A5" s="81"/>
      <c r="B5" s="81"/>
      <c r="C5" s="81"/>
      <c r="D5" s="81"/>
      <c r="E5" s="81"/>
      <c r="F5" s="81"/>
      <c r="G5" s="81"/>
    </row>
    <row r="6" spans="1:7" ht="15.75" x14ac:dyDescent="0.25">
      <c r="A6" s="318" t="s">
        <v>27</v>
      </c>
      <c r="B6" s="318"/>
      <c r="C6" s="318"/>
      <c r="D6" s="318"/>
      <c r="E6" s="318"/>
      <c r="F6" s="318"/>
      <c r="G6" s="318"/>
    </row>
    <row r="7" spans="1:7" ht="15.75" x14ac:dyDescent="0.25">
      <c r="A7" s="81"/>
      <c r="B7" s="81"/>
      <c r="C7" s="81"/>
      <c r="D7" s="81"/>
      <c r="E7" s="81"/>
      <c r="F7" s="81"/>
      <c r="G7" s="81"/>
    </row>
    <row r="8" spans="1:7" ht="15.75" x14ac:dyDescent="0.25">
      <c r="A8" s="81"/>
      <c r="B8" s="81"/>
      <c r="C8" s="81"/>
      <c r="D8" s="81"/>
      <c r="E8" s="81"/>
      <c r="F8" s="81"/>
      <c r="G8" s="81"/>
    </row>
    <row r="9" spans="1:7" ht="15.75" x14ac:dyDescent="0.25">
      <c r="A9" s="82" t="s">
        <v>28</v>
      </c>
      <c r="B9" s="81"/>
      <c r="C9" s="81"/>
      <c r="D9" s="81"/>
      <c r="E9" s="81"/>
      <c r="F9" s="81"/>
      <c r="G9" s="81"/>
    </row>
    <row r="10" spans="1:7" ht="15.75" x14ac:dyDescent="0.25">
      <c r="A10" s="315" t="s">
        <v>0</v>
      </c>
      <c r="B10" s="315" t="s">
        <v>1</v>
      </c>
      <c r="C10" s="315" t="s">
        <v>2</v>
      </c>
      <c r="D10" s="317" t="s">
        <v>23</v>
      </c>
      <c r="E10" s="317"/>
      <c r="F10" s="315" t="s">
        <v>9</v>
      </c>
      <c r="G10" s="315" t="s">
        <v>3</v>
      </c>
    </row>
    <row r="11" spans="1:7" ht="15.75" x14ac:dyDescent="0.25">
      <c r="A11" s="316"/>
      <c r="B11" s="316"/>
      <c r="C11" s="316"/>
      <c r="D11" s="83" t="s">
        <v>24</v>
      </c>
      <c r="E11" s="83" t="s">
        <v>25</v>
      </c>
      <c r="F11" s="316"/>
      <c r="G11" s="316"/>
    </row>
    <row r="12" spans="1:7" ht="24" customHeight="1" thickBot="1" x14ac:dyDescent="0.3">
      <c r="A12" s="84">
        <v>1</v>
      </c>
      <c r="B12" s="96">
        <v>45932</v>
      </c>
      <c r="C12" s="97" t="s">
        <v>60</v>
      </c>
      <c r="D12" s="85">
        <v>947209.53</v>
      </c>
      <c r="E12" s="85">
        <v>0</v>
      </c>
      <c r="F12" s="85">
        <f>SUM(E12-D12)</f>
        <v>-947209.53</v>
      </c>
      <c r="G12" s="86"/>
    </row>
    <row r="13" spans="1:7" ht="22.5" customHeight="1" thickBot="1" x14ac:dyDescent="0.3">
      <c r="A13" s="84">
        <v>2</v>
      </c>
      <c r="B13" s="95">
        <v>45932</v>
      </c>
      <c r="C13" s="97" t="s">
        <v>61</v>
      </c>
      <c r="D13" s="88">
        <v>60129</v>
      </c>
      <c r="E13" s="88"/>
      <c r="F13" s="88">
        <f t="shared" ref="F13:F18" si="0">+F12+E13-D13</f>
        <v>-1007338.53</v>
      </c>
      <c r="G13" s="86"/>
    </row>
    <row r="14" spans="1:7" ht="20.25" customHeight="1" thickBot="1" x14ac:dyDescent="0.3">
      <c r="A14" s="84">
        <v>3</v>
      </c>
      <c r="B14" s="95">
        <v>45932</v>
      </c>
      <c r="C14" s="97" t="s">
        <v>62</v>
      </c>
      <c r="D14" s="88">
        <v>42684</v>
      </c>
      <c r="E14" s="88"/>
      <c r="F14" s="88">
        <f t="shared" si="0"/>
        <v>-1050022.53</v>
      </c>
      <c r="G14" s="86"/>
    </row>
    <row r="15" spans="1:7" ht="22.5" customHeight="1" thickBot="1" x14ac:dyDescent="0.3">
      <c r="A15" s="84">
        <v>4</v>
      </c>
      <c r="B15" s="94"/>
      <c r="C15" s="94"/>
      <c r="D15" s="88"/>
      <c r="E15" s="88"/>
      <c r="F15" s="88">
        <f t="shared" si="0"/>
        <v>-1050022.53</v>
      </c>
      <c r="G15" s="86"/>
    </row>
    <row r="16" spans="1:7" ht="24" customHeight="1" thickBot="1" x14ac:dyDescent="0.3">
      <c r="A16" s="84">
        <v>5</v>
      </c>
      <c r="B16" s="94"/>
      <c r="C16" s="94"/>
      <c r="D16" s="88"/>
      <c r="E16" s="88"/>
      <c r="F16" s="88">
        <f t="shared" si="0"/>
        <v>-1050022.53</v>
      </c>
      <c r="G16" s="86"/>
    </row>
    <row r="17" spans="1:7" ht="24" customHeight="1" thickBot="1" x14ac:dyDescent="0.3">
      <c r="A17" s="84">
        <v>6</v>
      </c>
      <c r="B17" s="94"/>
      <c r="C17" s="94"/>
      <c r="D17" s="88"/>
      <c r="E17" s="88"/>
      <c r="F17" s="88">
        <f t="shared" si="0"/>
        <v>-1050022.53</v>
      </c>
      <c r="G17" s="86"/>
    </row>
    <row r="18" spans="1:7" ht="24.75" customHeight="1" thickBot="1" x14ac:dyDescent="0.3">
      <c r="A18" s="84">
        <v>7</v>
      </c>
      <c r="B18" s="94"/>
      <c r="C18" s="94"/>
      <c r="D18" s="88"/>
      <c r="E18" s="88"/>
      <c r="F18" s="88">
        <f t="shared" si="0"/>
        <v>-1050022.53</v>
      </c>
      <c r="G18" s="86"/>
    </row>
    <row r="19" spans="1:7" ht="22.5" customHeight="1" thickBot="1" x14ac:dyDescent="0.3">
      <c r="A19" s="84">
        <v>9</v>
      </c>
      <c r="B19" s="94"/>
      <c r="C19" s="94"/>
      <c r="D19" s="88"/>
      <c r="E19" s="88"/>
      <c r="F19" s="88">
        <f>+F18+D19-E19</f>
        <v>-1050022.53</v>
      </c>
      <c r="G19" s="86"/>
    </row>
    <row r="20" spans="1:7" ht="24" customHeight="1" thickBot="1" x14ac:dyDescent="0.3">
      <c r="A20" s="84">
        <v>10</v>
      </c>
      <c r="B20" s="94"/>
      <c r="C20" s="94"/>
      <c r="D20" s="88"/>
      <c r="E20" s="88"/>
      <c r="F20" s="88">
        <f>SUM(+F19+D20-E20)</f>
        <v>-1050022.53</v>
      </c>
      <c r="G20" s="86"/>
    </row>
    <row r="21" spans="1:7" ht="24" customHeight="1" thickBot="1" x14ac:dyDescent="0.3">
      <c r="A21" s="84">
        <v>11</v>
      </c>
      <c r="B21" s="94"/>
      <c r="C21" s="94"/>
      <c r="D21" s="85"/>
      <c r="E21" s="88"/>
      <c r="F21" s="88">
        <f>+F19+D21-E21</f>
        <v>-1050022.53</v>
      </c>
      <c r="G21" s="86"/>
    </row>
    <row r="22" spans="1:7" ht="25.5" customHeight="1" thickBot="1" x14ac:dyDescent="0.3">
      <c r="A22" s="84">
        <v>12</v>
      </c>
      <c r="B22" s="94"/>
      <c r="C22" s="94"/>
      <c r="D22" s="85"/>
      <c r="E22" s="88"/>
      <c r="F22" s="88">
        <f>SUM(+F21+E22-D22)</f>
        <v>-1050022.53</v>
      </c>
      <c r="G22" s="86"/>
    </row>
    <row r="23" spans="1:7" ht="21.75" customHeight="1" thickBot="1" x14ac:dyDescent="0.3">
      <c r="A23" s="84">
        <v>13</v>
      </c>
      <c r="B23" s="94"/>
      <c r="C23" s="94"/>
      <c r="D23" s="85"/>
      <c r="E23" s="88"/>
      <c r="F23" s="88">
        <f>SUM(+F22+E22-D22)</f>
        <v>-1050022.53</v>
      </c>
      <c r="G23" s="86"/>
    </row>
    <row r="24" spans="1:7" ht="26.25" customHeight="1" x14ac:dyDescent="0.25">
      <c r="A24" s="84"/>
      <c r="B24" s="87"/>
      <c r="C24" s="89"/>
      <c r="D24" s="85"/>
      <c r="E24" s="88"/>
      <c r="F24" s="88"/>
      <c r="G24" s="86"/>
    </row>
    <row r="25" spans="1:7" ht="15.75" x14ac:dyDescent="0.25">
      <c r="A25" s="84"/>
      <c r="B25" s="87"/>
      <c r="C25" s="89"/>
      <c r="D25" s="85"/>
      <c r="E25" s="88"/>
      <c r="F25" s="88"/>
      <c r="G25" s="86"/>
    </row>
    <row r="26" spans="1:7" ht="15.75" x14ac:dyDescent="0.25">
      <c r="A26" s="84"/>
      <c r="B26" s="87"/>
      <c r="C26" s="89"/>
      <c r="D26" s="85"/>
      <c r="E26" s="88"/>
      <c r="F26" s="88"/>
      <c r="G26" s="86"/>
    </row>
    <row r="27" spans="1:7" ht="15.75" x14ac:dyDescent="0.25">
      <c r="A27" s="84"/>
      <c r="B27" s="87"/>
      <c r="C27" s="89"/>
      <c r="D27" s="85"/>
      <c r="E27" s="88"/>
      <c r="F27" s="88"/>
      <c r="G27" s="86"/>
    </row>
    <row r="28" spans="1:7" ht="15.75" x14ac:dyDescent="0.25">
      <c r="A28" s="84"/>
      <c r="B28" s="87"/>
      <c r="C28" s="89"/>
      <c r="D28" s="85"/>
      <c r="E28" s="88"/>
      <c r="F28" s="88"/>
      <c r="G28" s="86"/>
    </row>
    <row r="29" spans="1:7" ht="15.75" x14ac:dyDescent="0.25">
      <c r="A29" s="84"/>
      <c r="B29" s="87"/>
      <c r="C29" s="89"/>
      <c r="D29" s="85"/>
      <c r="E29" s="88"/>
      <c r="F29" s="88"/>
      <c r="G29" s="86"/>
    </row>
    <row r="30" spans="1:7" ht="15.75" x14ac:dyDescent="0.25">
      <c r="A30" s="84"/>
      <c r="B30" s="87"/>
      <c r="C30" s="89"/>
      <c r="D30" s="85"/>
      <c r="E30" s="88"/>
      <c r="F30" s="88"/>
      <c r="G30" s="86"/>
    </row>
    <row r="31" spans="1:7" ht="15.75" x14ac:dyDescent="0.25">
      <c r="A31" s="84"/>
      <c r="B31" s="87"/>
      <c r="C31" s="89"/>
      <c r="D31" s="85"/>
      <c r="E31" s="88"/>
      <c r="F31" s="88"/>
      <c r="G31" s="86"/>
    </row>
    <row r="32" spans="1:7" ht="15.75" x14ac:dyDescent="0.25">
      <c r="A32" s="84"/>
      <c r="B32" s="87"/>
      <c r="C32" s="89"/>
      <c r="D32" s="85"/>
      <c r="E32" s="88"/>
      <c r="F32" s="88"/>
      <c r="G32" s="86"/>
    </row>
    <row r="33" spans="1:7" ht="15.75" x14ac:dyDescent="0.25">
      <c r="A33" s="84"/>
      <c r="B33" s="87"/>
      <c r="C33" s="89"/>
      <c r="D33" s="85"/>
      <c r="E33" s="88"/>
      <c r="F33" s="88"/>
      <c r="G33" s="86"/>
    </row>
    <row r="34" spans="1:7" ht="15.75" x14ac:dyDescent="0.25">
      <c r="A34" s="84"/>
      <c r="B34" s="87"/>
      <c r="C34" s="89"/>
      <c r="D34" s="85"/>
      <c r="E34" s="88"/>
      <c r="F34" s="88"/>
      <c r="G34" s="86"/>
    </row>
    <row r="35" spans="1:7" ht="15.75" x14ac:dyDescent="0.25">
      <c r="A35" s="84"/>
      <c r="B35" s="87"/>
      <c r="C35" s="89"/>
      <c r="D35" s="85"/>
      <c r="E35" s="88"/>
      <c r="F35" s="88"/>
      <c r="G35" s="86"/>
    </row>
    <row r="36" spans="1:7" ht="15.75" x14ac:dyDescent="0.25">
      <c r="A36" s="84"/>
      <c r="B36" s="87"/>
      <c r="C36" s="89"/>
      <c r="D36" s="85"/>
      <c r="E36" s="88"/>
      <c r="F36" s="88"/>
      <c r="G36" s="86"/>
    </row>
    <row r="37" spans="1:7" ht="15.75" x14ac:dyDescent="0.25">
      <c r="A37" s="84"/>
      <c r="B37" s="87"/>
      <c r="C37" s="89"/>
      <c r="D37" s="85"/>
      <c r="E37" s="88"/>
      <c r="F37" s="88"/>
      <c r="G37" s="86"/>
    </row>
    <row r="38" spans="1:7" ht="15.75" x14ac:dyDescent="0.25">
      <c r="A38" s="90"/>
      <c r="B38" s="91" t="s">
        <v>13</v>
      </c>
      <c r="C38" s="92"/>
      <c r="D38" s="93">
        <f>SUM(D12:D23)</f>
        <v>1050022.53</v>
      </c>
      <c r="E38" s="93">
        <f>SUM(E12:E23)</f>
        <v>0</v>
      </c>
      <c r="F38" s="93">
        <f>D38-E38</f>
        <v>1050022.53</v>
      </c>
      <c r="G38" s="90"/>
    </row>
    <row r="39" spans="1:7" ht="15.75" x14ac:dyDescent="0.25">
      <c r="A39" s="81"/>
      <c r="B39" s="81"/>
      <c r="C39" s="81"/>
      <c r="D39" s="81"/>
      <c r="E39" s="81"/>
      <c r="F39" s="81"/>
      <c r="G39" s="81"/>
    </row>
    <row r="40" spans="1:7" ht="15.75" x14ac:dyDescent="0.25">
      <c r="A40" s="81"/>
      <c r="B40" s="81"/>
      <c r="C40" s="81"/>
      <c r="D40" s="81"/>
      <c r="E40" s="81"/>
      <c r="F40" s="81"/>
      <c r="G40" s="81"/>
    </row>
  </sheetData>
  <mergeCells count="7">
    <mergeCell ref="A6:G6"/>
    <mergeCell ref="A10:A11"/>
    <mergeCell ref="B10:B11"/>
    <mergeCell ref="C10:C11"/>
    <mergeCell ref="D10:E10"/>
    <mergeCell ref="F10:F11"/>
    <mergeCell ref="G10:G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9612-BADB-4750-B4B3-C769F91A6C7F}">
  <dimension ref="A1:J136"/>
  <sheetViews>
    <sheetView topLeftCell="A106" workbookViewId="0">
      <selection sqref="A1:I114"/>
    </sheetView>
  </sheetViews>
  <sheetFormatPr defaultRowHeight="15" x14ac:dyDescent="0.25"/>
  <cols>
    <col min="2" max="2" width="10.140625" bestFit="1" customWidth="1"/>
    <col min="3" max="3" width="27.28515625" customWidth="1"/>
    <col min="5" max="5" width="22" customWidth="1"/>
    <col min="6" max="6" width="16.7109375" customWidth="1"/>
    <col min="7" max="7" width="18.5703125" customWidth="1"/>
    <col min="8" max="8" width="23.140625" customWidth="1"/>
    <col min="9" max="9" width="53.42578125" customWidth="1"/>
  </cols>
  <sheetData>
    <row r="1" spans="1:9" x14ac:dyDescent="0.25">
      <c r="A1" s="107" t="str">
        <f>+Acess!A1</f>
        <v>Empresa: Mozambique Support Services, Lda</v>
      </c>
      <c r="B1" s="107"/>
      <c r="C1" s="107"/>
      <c r="D1" s="107"/>
      <c r="E1" s="107"/>
      <c r="F1" s="107"/>
      <c r="G1" s="107"/>
      <c r="H1" s="107"/>
      <c r="I1" s="107"/>
    </row>
    <row r="2" spans="1:9" x14ac:dyDescent="0.25">
      <c r="A2" s="107" t="str">
        <f>+Acess!A2</f>
        <v xml:space="preserve">Nuit: </v>
      </c>
      <c r="B2" s="108">
        <v>401761349</v>
      </c>
      <c r="C2" s="108"/>
      <c r="D2" s="108"/>
      <c r="E2" s="108"/>
      <c r="F2" s="108"/>
      <c r="G2" s="108"/>
      <c r="H2" s="108"/>
      <c r="I2" s="108"/>
    </row>
    <row r="3" spans="1:9" x14ac:dyDescent="0.25">
      <c r="A3" s="107" t="str">
        <f>+Acess!A3</f>
        <v xml:space="preserve">Periodo: </v>
      </c>
      <c r="B3" s="108">
        <v>2025</v>
      </c>
      <c r="C3" s="108"/>
      <c r="D3" s="108"/>
      <c r="E3" s="108"/>
      <c r="F3" s="108"/>
      <c r="G3" s="108"/>
      <c r="H3" s="108"/>
      <c r="I3" s="108"/>
    </row>
    <row r="4" spans="1:9" x14ac:dyDescent="0.25">
      <c r="A4" s="108"/>
      <c r="B4" s="108"/>
      <c r="C4" s="108"/>
      <c r="D4" s="108"/>
      <c r="E4" s="108"/>
      <c r="F4" s="108"/>
      <c r="G4" s="108"/>
      <c r="H4" s="108"/>
      <c r="I4" s="108"/>
    </row>
    <row r="5" spans="1:9" ht="15.75" thickBot="1" x14ac:dyDescent="0.3">
      <c r="A5" s="306" t="s">
        <v>10</v>
      </c>
      <c r="B5" s="306"/>
      <c r="C5" s="306"/>
      <c r="D5" s="306"/>
      <c r="E5" s="306"/>
      <c r="F5" s="306"/>
      <c r="G5" s="306"/>
      <c r="H5" s="306"/>
      <c r="I5" s="306"/>
    </row>
    <row r="6" spans="1:9" ht="15.75" thickTop="1" x14ac:dyDescent="0.25">
      <c r="A6" s="108"/>
      <c r="B6" s="108"/>
      <c r="C6" s="108"/>
      <c r="D6" s="108"/>
      <c r="E6" s="108"/>
      <c r="F6" s="108"/>
      <c r="G6" s="108"/>
      <c r="H6" s="108"/>
      <c r="I6" s="108"/>
    </row>
    <row r="7" spans="1:9" x14ac:dyDescent="0.25">
      <c r="A7" s="107" t="s">
        <v>11</v>
      </c>
      <c r="B7" s="108"/>
      <c r="C7" s="108"/>
      <c r="D7" s="108"/>
      <c r="E7" s="108"/>
      <c r="F7" s="108"/>
      <c r="G7" s="108"/>
      <c r="H7" s="108"/>
      <c r="I7" s="108"/>
    </row>
    <row r="8" spans="1:9" ht="15.75" thickBot="1" x14ac:dyDescent="0.3">
      <c r="A8" s="307" t="s">
        <v>14</v>
      </c>
      <c r="B8" s="307"/>
      <c r="C8" s="307"/>
      <c r="D8" s="307"/>
      <c r="E8" s="307"/>
      <c r="F8" s="307"/>
      <c r="G8" s="307"/>
      <c r="H8" s="307"/>
      <c r="I8" s="307"/>
    </row>
    <row r="9" spans="1:9" ht="16.5" thickTop="1" thickBot="1" x14ac:dyDescent="0.3">
      <c r="A9" s="108"/>
      <c r="B9" s="108"/>
      <c r="C9" s="108"/>
      <c r="D9" s="108"/>
      <c r="E9" s="108"/>
      <c r="F9" s="108"/>
      <c r="G9" s="108"/>
      <c r="H9" s="109"/>
      <c r="I9" s="110"/>
    </row>
    <row r="10" spans="1:9" ht="15.75" thickBot="1" x14ac:dyDescent="0.3">
      <c r="A10" s="111" t="s">
        <v>0</v>
      </c>
      <c r="B10" s="112" t="s">
        <v>1</v>
      </c>
      <c r="C10" s="112" t="s">
        <v>2</v>
      </c>
      <c r="D10" s="112" t="s">
        <v>82</v>
      </c>
      <c r="E10" s="112" t="s">
        <v>20</v>
      </c>
      <c r="F10" s="113" t="s">
        <v>7</v>
      </c>
      <c r="G10" s="112" t="s">
        <v>8</v>
      </c>
      <c r="H10" s="112" t="s">
        <v>9</v>
      </c>
      <c r="I10" s="114" t="s">
        <v>3</v>
      </c>
    </row>
    <row r="11" spans="1:9" x14ac:dyDescent="0.25">
      <c r="A11" s="115">
        <v>1</v>
      </c>
      <c r="B11" s="249">
        <v>45968</v>
      </c>
      <c r="C11" s="117" t="s">
        <v>33</v>
      </c>
      <c r="D11" s="130"/>
      <c r="E11" s="130"/>
      <c r="F11" s="180">
        <v>100000</v>
      </c>
      <c r="G11" s="180"/>
      <c r="H11" s="181"/>
      <c r="I11" s="130" t="s">
        <v>278</v>
      </c>
    </row>
    <row r="12" spans="1:9" x14ac:dyDescent="0.25">
      <c r="A12" s="118">
        <v>2</v>
      </c>
      <c r="B12" s="179">
        <v>45968</v>
      </c>
      <c r="C12" s="126" t="s">
        <v>232</v>
      </c>
      <c r="D12" s="119"/>
      <c r="E12" s="119" t="s">
        <v>234</v>
      </c>
      <c r="F12" s="182"/>
      <c r="G12" s="182">
        <v>32118.95</v>
      </c>
      <c r="H12" s="183">
        <f>SUM(F11-G12)</f>
        <v>67881.05</v>
      </c>
      <c r="I12" s="116"/>
    </row>
    <row r="13" spans="1:9" x14ac:dyDescent="0.25">
      <c r="A13" s="118">
        <v>3</v>
      </c>
      <c r="B13" s="179">
        <v>45968</v>
      </c>
      <c r="C13" s="126" t="s">
        <v>233</v>
      </c>
      <c r="D13" s="122"/>
      <c r="E13" s="119" t="s">
        <v>234</v>
      </c>
      <c r="F13" s="182"/>
      <c r="G13" s="189">
        <v>26450.9</v>
      </c>
      <c r="H13" s="182">
        <f>+H12+F13-G13</f>
        <v>41430.15</v>
      </c>
      <c r="I13" s="116"/>
    </row>
    <row r="14" spans="1:9" x14ac:dyDescent="0.25">
      <c r="A14" s="118">
        <v>4</v>
      </c>
      <c r="B14" s="179">
        <v>45968</v>
      </c>
      <c r="C14" s="126" t="s">
        <v>34</v>
      </c>
      <c r="D14" s="122"/>
      <c r="E14" s="119"/>
      <c r="F14" s="184"/>
      <c r="G14" s="184">
        <v>8204.7000000000007</v>
      </c>
      <c r="H14" s="182">
        <f>+H13+F14-G14</f>
        <v>33225.449999999997</v>
      </c>
      <c r="I14" s="124"/>
    </row>
    <row r="15" spans="1:9" x14ac:dyDescent="0.25">
      <c r="A15" s="118">
        <v>5</v>
      </c>
      <c r="B15" s="179">
        <v>45968</v>
      </c>
      <c r="C15" s="129" t="s">
        <v>231</v>
      </c>
      <c r="D15" s="122"/>
      <c r="E15" s="119" t="s">
        <v>234</v>
      </c>
      <c r="F15" s="184"/>
      <c r="G15" s="188">
        <v>29849.82</v>
      </c>
      <c r="H15" s="182">
        <f t="shared" ref="H15:H37" si="0">+H14+F15-G15</f>
        <v>3375.6299999999974</v>
      </c>
      <c r="I15" s="124"/>
    </row>
    <row r="16" spans="1:9" x14ac:dyDescent="0.25">
      <c r="A16" s="118">
        <v>6</v>
      </c>
      <c r="B16" s="179">
        <v>45968</v>
      </c>
      <c r="C16" s="129" t="s">
        <v>230</v>
      </c>
      <c r="D16" s="122"/>
      <c r="E16" s="119" t="s">
        <v>229</v>
      </c>
      <c r="F16" s="184"/>
      <c r="G16" s="184">
        <v>1470</v>
      </c>
      <c r="H16" s="182">
        <f t="shared" si="0"/>
        <v>1905.6299999999974</v>
      </c>
      <c r="I16" s="124"/>
    </row>
    <row r="17" spans="1:10" x14ac:dyDescent="0.25">
      <c r="A17" s="118">
        <v>7</v>
      </c>
      <c r="B17" s="231"/>
      <c r="C17" s="200" t="s">
        <v>33</v>
      </c>
      <c r="D17" s="140"/>
      <c r="E17" s="141"/>
      <c r="F17" s="186">
        <v>16520</v>
      </c>
      <c r="G17" s="186"/>
      <c r="H17" s="201">
        <f t="shared" si="0"/>
        <v>18425.629999999997</v>
      </c>
      <c r="I17" s="142"/>
    </row>
    <row r="18" spans="1:10" x14ac:dyDescent="0.25">
      <c r="A18" s="118">
        <v>8</v>
      </c>
      <c r="B18" s="121"/>
      <c r="C18" s="126" t="s">
        <v>238</v>
      </c>
      <c r="D18" s="122"/>
      <c r="E18" s="119"/>
      <c r="F18" s="184"/>
      <c r="G18" s="185">
        <v>4000</v>
      </c>
      <c r="H18" s="182">
        <f t="shared" si="0"/>
        <v>14425.629999999997</v>
      </c>
      <c r="I18" s="124"/>
    </row>
    <row r="19" spans="1:10" x14ac:dyDescent="0.25">
      <c r="A19" s="118">
        <v>9</v>
      </c>
      <c r="B19" s="121"/>
      <c r="C19" s="126" t="s">
        <v>239</v>
      </c>
      <c r="D19" s="122"/>
      <c r="E19" s="119"/>
      <c r="F19" s="184"/>
      <c r="G19" s="185">
        <v>8666</v>
      </c>
      <c r="H19" s="182">
        <f t="shared" si="0"/>
        <v>5759.6299999999974</v>
      </c>
      <c r="I19" s="124"/>
    </row>
    <row r="20" spans="1:10" x14ac:dyDescent="0.25">
      <c r="A20" s="118">
        <v>10</v>
      </c>
      <c r="B20" s="121"/>
      <c r="C20" s="126" t="s">
        <v>37</v>
      </c>
      <c r="D20" s="122"/>
      <c r="E20" s="119"/>
      <c r="F20" s="184"/>
      <c r="G20" s="185">
        <v>5750</v>
      </c>
      <c r="H20" s="182">
        <f t="shared" si="0"/>
        <v>9.6299999999973807</v>
      </c>
      <c r="I20" s="124"/>
    </row>
    <row r="21" spans="1:10" x14ac:dyDescent="0.25">
      <c r="A21" s="118">
        <v>11</v>
      </c>
      <c r="B21" s="231">
        <v>45979</v>
      </c>
      <c r="C21" s="200" t="s">
        <v>33</v>
      </c>
      <c r="D21" s="140"/>
      <c r="E21" s="232"/>
      <c r="F21" s="186">
        <v>60000</v>
      </c>
      <c r="G21" s="187"/>
      <c r="H21" s="201">
        <f t="shared" si="0"/>
        <v>60009.63</v>
      </c>
      <c r="I21" s="142" t="s">
        <v>278</v>
      </c>
    </row>
    <row r="22" spans="1:10" x14ac:dyDescent="0.25">
      <c r="A22" s="118">
        <v>12</v>
      </c>
      <c r="B22" s="121">
        <v>45979</v>
      </c>
      <c r="C22" s="126" t="s">
        <v>257</v>
      </c>
      <c r="D22" s="122"/>
      <c r="E22" s="119"/>
      <c r="F22" s="184"/>
      <c r="G22" s="185">
        <v>30000</v>
      </c>
      <c r="H22" s="182">
        <f t="shared" si="0"/>
        <v>30009.629999999997</v>
      </c>
      <c r="I22" s="124"/>
    </row>
    <row r="23" spans="1:10" x14ac:dyDescent="0.25">
      <c r="A23" s="118">
        <v>13</v>
      </c>
      <c r="B23" s="121">
        <v>45980</v>
      </c>
      <c r="C23" s="125" t="s">
        <v>258</v>
      </c>
      <c r="D23" s="122"/>
      <c r="E23" s="119"/>
      <c r="F23" s="184"/>
      <c r="G23" s="185">
        <v>3000</v>
      </c>
      <c r="H23" s="182">
        <f t="shared" si="0"/>
        <v>27009.629999999997</v>
      </c>
      <c r="I23" s="124"/>
    </row>
    <row r="24" spans="1:10" x14ac:dyDescent="0.25">
      <c r="A24" s="118">
        <v>14</v>
      </c>
      <c r="B24" s="121">
        <v>45981</v>
      </c>
      <c r="C24" s="125" t="s">
        <v>259</v>
      </c>
      <c r="D24" s="122"/>
      <c r="E24" s="119"/>
      <c r="F24" s="184"/>
      <c r="G24" s="185">
        <v>3500</v>
      </c>
      <c r="H24" s="182">
        <f t="shared" si="0"/>
        <v>23509.629999999997</v>
      </c>
      <c r="I24" s="124"/>
    </row>
    <row r="25" spans="1:10" x14ac:dyDescent="0.25">
      <c r="A25" s="118">
        <v>15</v>
      </c>
      <c r="B25" s="121">
        <v>45981</v>
      </c>
      <c r="C25" s="233" t="s">
        <v>260</v>
      </c>
      <c r="D25" s="234"/>
      <c r="E25" s="235"/>
      <c r="F25" s="236"/>
      <c r="G25" s="237">
        <v>180</v>
      </c>
      <c r="H25" s="182">
        <f t="shared" si="0"/>
        <v>23329.629999999997</v>
      </c>
      <c r="I25" s="124"/>
    </row>
    <row r="26" spans="1:10" x14ac:dyDescent="0.25">
      <c r="A26" s="118">
        <v>16</v>
      </c>
      <c r="B26" s="121">
        <v>45983</v>
      </c>
      <c r="C26" s="125" t="s">
        <v>261</v>
      </c>
      <c r="D26" s="122"/>
      <c r="E26" s="119"/>
      <c r="F26" s="184"/>
      <c r="G26" s="185">
        <v>2000</v>
      </c>
      <c r="H26" s="182">
        <f t="shared" si="0"/>
        <v>21329.629999999997</v>
      </c>
      <c r="I26" s="124"/>
    </row>
    <row r="27" spans="1:10" x14ac:dyDescent="0.25">
      <c r="A27" s="118">
        <v>17</v>
      </c>
      <c r="B27" s="121">
        <v>45985</v>
      </c>
      <c r="C27" s="126" t="s">
        <v>272</v>
      </c>
      <c r="D27" s="122"/>
      <c r="E27" s="119"/>
      <c r="F27" s="184"/>
      <c r="G27" s="184">
        <v>4000</v>
      </c>
      <c r="H27" s="182">
        <f t="shared" si="0"/>
        <v>17329.629999999997</v>
      </c>
      <c r="I27" s="124"/>
    </row>
    <row r="28" spans="1:10" x14ac:dyDescent="0.25">
      <c r="A28" s="118">
        <v>18</v>
      </c>
      <c r="B28" s="121"/>
      <c r="C28" s="125" t="s">
        <v>273</v>
      </c>
      <c r="D28" s="122"/>
      <c r="E28" s="119"/>
      <c r="F28" s="184"/>
      <c r="G28" s="185">
        <v>5740</v>
      </c>
      <c r="H28" s="182">
        <f t="shared" si="0"/>
        <v>11589.629999999997</v>
      </c>
      <c r="I28" s="124"/>
    </row>
    <row r="29" spans="1:10" x14ac:dyDescent="0.25">
      <c r="A29" s="118">
        <v>19</v>
      </c>
      <c r="B29" s="121"/>
      <c r="C29" s="233" t="s">
        <v>274</v>
      </c>
      <c r="D29" s="234"/>
      <c r="E29" s="235"/>
      <c r="F29" s="236"/>
      <c r="G29" s="237">
        <v>150</v>
      </c>
      <c r="H29" s="182">
        <f t="shared" si="0"/>
        <v>11439.629999999997</v>
      </c>
      <c r="I29" s="124"/>
    </row>
    <row r="30" spans="1:10" x14ac:dyDescent="0.25">
      <c r="A30" s="118">
        <v>20</v>
      </c>
      <c r="B30" s="121"/>
      <c r="C30" s="126" t="s">
        <v>275</v>
      </c>
      <c r="D30" s="122"/>
      <c r="E30" s="119"/>
      <c r="F30" s="184"/>
      <c r="G30" s="184">
        <v>100</v>
      </c>
      <c r="H30" s="182">
        <f t="shared" si="0"/>
        <v>11339.629999999997</v>
      </c>
      <c r="I30" s="124"/>
    </row>
    <row r="31" spans="1:10" x14ac:dyDescent="0.25">
      <c r="A31" s="118">
        <v>21</v>
      </c>
      <c r="B31" s="121"/>
      <c r="C31" s="125" t="s">
        <v>276</v>
      </c>
      <c r="D31" s="122"/>
      <c r="E31" s="119"/>
      <c r="F31" s="184"/>
      <c r="G31" s="185">
        <v>1620</v>
      </c>
      <c r="H31" s="182">
        <f t="shared" si="0"/>
        <v>9719.6299999999974</v>
      </c>
      <c r="I31" s="124"/>
    </row>
    <row r="32" spans="1:10" x14ac:dyDescent="0.25">
      <c r="A32" s="118">
        <v>22</v>
      </c>
      <c r="B32" s="231"/>
      <c r="C32" s="200" t="s">
        <v>33</v>
      </c>
      <c r="D32" s="140"/>
      <c r="E32" s="141"/>
      <c r="F32" s="186">
        <v>50000</v>
      </c>
      <c r="G32" s="187"/>
      <c r="H32" s="201">
        <f t="shared" si="0"/>
        <v>59719.63</v>
      </c>
      <c r="I32" s="142" t="s">
        <v>279</v>
      </c>
      <c r="J32" s="250"/>
    </row>
    <row r="33" spans="1:9" x14ac:dyDescent="0.25">
      <c r="A33" s="118">
        <v>23</v>
      </c>
      <c r="B33" s="121"/>
      <c r="C33" s="127" t="s">
        <v>277</v>
      </c>
      <c r="D33" s="122"/>
      <c r="E33" s="119"/>
      <c r="F33" s="184"/>
      <c r="G33" s="184">
        <v>34697.019999999997</v>
      </c>
      <c r="H33" s="182">
        <f t="shared" si="0"/>
        <v>25022.61</v>
      </c>
      <c r="I33" s="124"/>
    </row>
    <row r="34" spans="1:9" x14ac:dyDescent="0.25">
      <c r="A34" s="118">
        <v>24</v>
      </c>
      <c r="B34" s="121"/>
      <c r="C34" s="126" t="s">
        <v>280</v>
      </c>
      <c r="D34" s="122"/>
      <c r="E34" s="119"/>
      <c r="F34" s="184"/>
      <c r="G34" s="184">
        <v>1000</v>
      </c>
      <c r="H34" s="182">
        <f t="shared" si="0"/>
        <v>24022.61</v>
      </c>
      <c r="I34" s="124"/>
    </row>
    <row r="35" spans="1:9" x14ac:dyDescent="0.25">
      <c r="A35" s="118">
        <v>25</v>
      </c>
      <c r="B35" s="121"/>
      <c r="C35" s="125"/>
      <c r="D35" s="122"/>
      <c r="E35" s="119"/>
      <c r="F35" s="184"/>
      <c r="G35" s="185"/>
      <c r="H35" s="182">
        <f t="shared" si="0"/>
        <v>24022.61</v>
      </c>
      <c r="I35" s="124"/>
    </row>
    <row r="36" spans="1:9" x14ac:dyDescent="0.25">
      <c r="A36" s="118">
        <v>26</v>
      </c>
      <c r="B36" s="121"/>
      <c r="C36" s="125"/>
      <c r="D36" s="122"/>
      <c r="E36" s="119"/>
      <c r="F36" s="184"/>
      <c r="G36" s="185"/>
      <c r="H36" s="182">
        <f t="shared" si="0"/>
        <v>24022.61</v>
      </c>
      <c r="I36" s="124"/>
    </row>
    <row r="37" spans="1:9" x14ac:dyDescent="0.25">
      <c r="A37" s="118">
        <v>27</v>
      </c>
      <c r="B37" s="121"/>
      <c r="C37" s="125"/>
      <c r="D37" s="122"/>
      <c r="E37" s="119"/>
      <c r="F37" s="184"/>
      <c r="G37" s="185"/>
      <c r="H37" s="182">
        <f t="shared" si="0"/>
        <v>24022.61</v>
      </c>
      <c r="I37" s="124"/>
    </row>
    <row r="38" spans="1:9" x14ac:dyDescent="0.25">
      <c r="A38" s="118">
        <v>28</v>
      </c>
      <c r="B38" s="251"/>
      <c r="C38" s="235"/>
      <c r="D38" s="234"/>
      <c r="E38" s="235"/>
      <c r="F38" s="236"/>
      <c r="G38" s="236"/>
      <c r="H38" s="252">
        <f>+H37+F38-G38</f>
        <v>24022.61</v>
      </c>
      <c r="I38" s="253"/>
    </row>
    <row r="39" spans="1:9" x14ac:dyDescent="0.25">
      <c r="A39" s="118">
        <v>29</v>
      </c>
      <c r="B39" s="121"/>
      <c r="C39" s="119"/>
      <c r="D39" s="122"/>
      <c r="E39" s="119"/>
      <c r="F39" s="184"/>
      <c r="G39" s="184"/>
      <c r="H39" s="182">
        <f>+H38+F39-G39</f>
        <v>24022.61</v>
      </c>
      <c r="I39" s="124"/>
    </row>
    <row r="40" spans="1:9" x14ac:dyDescent="0.25">
      <c r="A40" s="118">
        <v>30</v>
      </c>
      <c r="B40" s="138"/>
      <c r="C40" s="138"/>
      <c r="D40" s="138"/>
      <c r="E40" s="138"/>
      <c r="F40" s="138"/>
      <c r="G40" s="138"/>
      <c r="H40" s="182">
        <f>+H39+F40-G40</f>
        <v>24022.61</v>
      </c>
      <c r="I40" s="138"/>
    </row>
    <row r="41" spans="1:9" x14ac:dyDescent="0.25">
      <c r="A41" s="118">
        <v>31</v>
      </c>
      <c r="B41" s="138"/>
      <c r="C41" s="138"/>
      <c r="D41" s="138"/>
      <c r="E41" s="138"/>
      <c r="F41" s="138"/>
      <c r="G41" s="138"/>
      <c r="H41" s="182">
        <f>+H40+F41-G41</f>
        <v>24022.61</v>
      </c>
      <c r="I41" s="138"/>
    </row>
    <row r="42" spans="1:9" x14ac:dyDescent="0.25">
      <c r="A42" s="118">
        <v>32</v>
      </c>
      <c r="B42" s="138"/>
      <c r="C42" s="138"/>
      <c r="D42" s="138"/>
      <c r="E42" s="138"/>
      <c r="F42" s="138"/>
      <c r="G42" s="138"/>
      <c r="H42" s="182">
        <f t="shared" ref="H42:H48" si="1">+H41+F42-G42</f>
        <v>24022.61</v>
      </c>
      <c r="I42" s="138"/>
    </row>
    <row r="43" spans="1:9" x14ac:dyDescent="0.25">
      <c r="A43" s="118">
        <v>33</v>
      </c>
      <c r="B43" s="138"/>
      <c r="C43" s="138"/>
      <c r="D43" s="138"/>
      <c r="E43" s="138"/>
      <c r="F43" s="138"/>
      <c r="G43" s="138"/>
      <c r="H43" s="182">
        <f t="shared" si="1"/>
        <v>24022.61</v>
      </c>
      <c r="I43" s="138"/>
    </row>
    <row r="44" spans="1:9" x14ac:dyDescent="0.25">
      <c r="A44" s="118">
        <v>34</v>
      </c>
      <c r="B44" s="138"/>
      <c r="C44" s="138"/>
      <c r="D44" s="138"/>
      <c r="E44" s="138"/>
      <c r="F44" s="138"/>
      <c r="G44" s="138"/>
      <c r="H44" s="182">
        <f t="shared" si="1"/>
        <v>24022.61</v>
      </c>
      <c r="I44" s="138"/>
    </row>
    <row r="45" spans="1:9" x14ac:dyDescent="0.25">
      <c r="A45" s="118">
        <v>35</v>
      </c>
      <c r="B45" s="138"/>
      <c r="C45" s="138"/>
      <c r="D45" s="138"/>
      <c r="E45" s="138"/>
      <c r="F45" s="138"/>
      <c r="G45" s="138"/>
      <c r="H45" s="182">
        <f t="shared" si="1"/>
        <v>24022.61</v>
      </c>
      <c r="I45" s="138"/>
    </row>
    <row r="46" spans="1:9" x14ac:dyDescent="0.25">
      <c r="A46" s="118">
        <v>36</v>
      </c>
      <c r="B46" s="138"/>
      <c r="C46" s="138"/>
      <c r="D46" s="138"/>
      <c r="E46" s="138"/>
      <c r="F46" s="138"/>
      <c r="G46" s="138"/>
      <c r="H46" s="182">
        <f t="shared" si="1"/>
        <v>24022.61</v>
      </c>
      <c r="I46" s="138"/>
    </row>
    <row r="47" spans="1:9" x14ac:dyDescent="0.25">
      <c r="A47" s="118">
        <v>37</v>
      </c>
      <c r="B47" s="138"/>
      <c r="C47" s="138"/>
      <c r="D47" s="138"/>
      <c r="E47" s="138"/>
      <c r="F47" s="138"/>
      <c r="G47" s="138"/>
      <c r="H47" s="182">
        <f t="shared" si="1"/>
        <v>24022.61</v>
      </c>
      <c r="I47" s="138"/>
    </row>
    <row r="48" spans="1:9" x14ac:dyDescent="0.25">
      <c r="A48" s="118">
        <v>38</v>
      </c>
      <c r="B48" s="138"/>
      <c r="C48" s="138"/>
      <c r="D48" s="138"/>
      <c r="E48" s="138"/>
      <c r="F48" s="138"/>
      <c r="G48" s="138"/>
      <c r="H48" s="182">
        <f t="shared" si="1"/>
        <v>24022.61</v>
      </c>
      <c r="I48" s="138"/>
    </row>
    <row r="49" spans="1:9" x14ac:dyDescent="0.25">
      <c r="A49" s="138">
        <v>39</v>
      </c>
      <c r="B49" s="138"/>
      <c r="C49" s="138"/>
      <c r="D49" s="138"/>
      <c r="E49" s="138"/>
      <c r="F49" s="138"/>
      <c r="G49" s="138"/>
      <c r="H49" s="138"/>
      <c r="I49" s="138"/>
    </row>
    <row r="51" spans="1:9" x14ac:dyDescent="0.25">
      <c r="A51" s="107">
        <f>+Acess!A51</f>
        <v>0</v>
      </c>
      <c r="B51" s="107"/>
      <c r="C51" s="107"/>
      <c r="D51" s="107"/>
      <c r="E51" s="107"/>
      <c r="F51" s="107"/>
      <c r="G51" s="107"/>
      <c r="H51" s="107"/>
      <c r="I51" s="107"/>
    </row>
    <row r="52" spans="1:9" x14ac:dyDescent="0.25">
      <c r="A52" s="107">
        <f>+Acess!A52</f>
        <v>0</v>
      </c>
      <c r="B52" s="108">
        <v>401761349</v>
      </c>
      <c r="C52" s="108"/>
      <c r="D52" s="108"/>
      <c r="E52" s="108"/>
      <c r="F52" s="108"/>
      <c r="G52" s="108"/>
      <c r="H52" s="108"/>
      <c r="I52" s="108"/>
    </row>
    <row r="53" spans="1:9" x14ac:dyDescent="0.25">
      <c r="A53" s="107">
        <f>+Acess!A53</f>
        <v>0</v>
      </c>
      <c r="B53" s="108">
        <v>2025</v>
      </c>
      <c r="C53" s="108"/>
      <c r="D53" s="108"/>
      <c r="E53" s="108"/>
      <c r="F53" s="108"/>
      <c r="G53" s="108"/>
      <c r="H53" s="108"/>
      <c r="I53" s="108"/>
    </row>
    <row r="54" spans="1:9" x14ac:dyDescent="0.25">
      <c r="A54" s="108"/>
      <c r="B54" s="108"/>
      <c r="C54" s="108"/>
      <c r="D54" s="108"/>
      <c r="E54" s="108"/>
      <c r="F54" s="108"/>
      <c r="G54" s="108"/>
      <c r="H54" s="108"/>
      <c r="I54" s="108"/>
    </row>
    <row r="55" spans="1:9" ht="15.75" thickBot="1" x14ac:dyDescent="0.3">
      <c r="A55" s="306" t="s">
        <v>10</v>
      </c>
      <c r="B55" s="306"/>
      <c r="C55" s="306"/>
      <c r="D55" s="306"/>
      <c r="E55" s="306"/>
      <c r="F55" s="306"/>
      <c r="G55" s="306"/>
      <c r="H55" s="306"/>
      <c r="I55" s="306"/>
    </row>
    <row r="56" spans="1:9" ht="15.75" thickTop="1" x14ac:dyDescent="0.25">
      <c r="A56" s="108"/>
      <c r="B56" s="108"/>
      <c r="C56" s="108"/>
      <c r="D56" s="108"/>
      <c r="E56" s="108"/>
      <c r="F56" s="108"/>
      <c r="G56" s="108"/>
      <c r="H56" s="108"/>
      <c r="I56" s="108"/>
    </row>
    <row r="57" spans="1:9" x14ac:dyDescent="0.25">
      <c r="A57" s="107" t="s">
        <v>11</v>
      </c>
      <c r="B57" s="108"/>
      <c r="C57" s="108"/>
      <c r="D57" s="108"/>
      <c r="E57" s="108"/>
      <c r="F57" s="108"/>
      <c r="G57" s="108"/>
      <c r="H57" s="108"/>
      <c r="I57" s="108"/>
    </row>
    <row r="58" spans="1:9" ht="15.75" thickBot="1" x14ac:dyDescent="0.3">
      <c r="A58" s="307" t="s">
        <v>14</v>
      </c>
      <c r="B58" s="307"/>
      <c r="C58" s="307"/>
      <c r="D58" s="307"/>
      <c r="E58" s="307"/>
      <c r="F58" s="307"/>
      <c r="G58" s="307"/>
      <c r="H58" s="307"/>
      <c r="I58" s="307"/>
    </row>
    <row r="59" spans="1:9" ht="16.5" thickTop="1" thickBot="1" x14ac:dyDescent="0.3">
      <c r="A59" s="108"/>
      <c r="B59" s="108"/>
      <c r="C59" s="108"/>
      <c r="D59" s="108"/>
      <c r="E59" s="108"/>
      <c r="F59" s="108"/>
      <c r="G59" s="108"/>
      <c r="H59" s="109"/>
      <c r="I59" s="110"/>
    </row>
    <row r="60" spans="1:9" ht="15.75" thickBot="1" x14ac:dyDescent="0.3">
      <c r="A60" s="111" t="s">
        <v>0</v>
      </c>
      <c r="B60" s="112" t="s">
        <v>1</v>
      </c>
      <c r="C60" s="112" t="s">
        <v>2</v>
      </c>
      <c r="D60" s="112" t="s">
        <v>82</v>
      </c>
      <c r="E60" s="112" t="s">
        <v>20</v>
      </c>
      <c r="F60" s="113" t="s">
        <v>7</v>
      </c>
      <c r="G60" s="112" t="s">
        <v>8</v>
      </c>
      <c r="H60" s="112" t="s">
        <v>9</v>
      </c>
      <c r="I60" s="114" t="s">
        <v>3</v>
      </c>
    </row>
    <row r="61" spans="1:9" x14ac:dyDescent="0.25">
      <c r="A61" s="115">
        <v>1</v>
      </c>
      <c r="B61" s="249">
        <v>45968</v>
      </c>
      <c r="C61" s="117" t="s">
        <v>33</v>
      </c>
      <c r="D61" s="130"/>
      <c r="E61" s="130"/>
      <c r="F61" s="180">
        <v>100000</v>
      </c>
      <c r="G61" s="180"/>
      <c r="H61" s="181"/>
      <c r="I61" s="130" t="s">
        <v>278</v>
      </c>
    </row>
    <row r="62" spans="1:9" x14ac:dyDescent="0.25">
      <c r="A62" s="118">
        <v>2</v>
      </c>
      <c r="B62" s="179">
        <v>45968</v>
      </c>
      <c r="C62" s="126" t="s">
        <v>232</v>
      </c>
      <c r="D62" s="119"/>
      <c r="E62" s="119" t="s">
        <v>234</v>
      </c>
      <c r="F62" s="182"/>
      <c r="G62" s="182">
        <v>32118.95</v>
      </c>
      <c r="H62" s="183">
        <f>SUM(F61-G62)</f>
        <v>67881.05</v>
      </c>
      <c r="I62" s="116"/>
    </row>
    <row r="63" spans="1:9" x14ac:dyDescent="0.25">
      <c r="A63" s="118">
        <v>3</v>
      </c>
      <c r="B63" s="179">
        <v>45968</v>
      </c>
      <c r="C63" s="126" t="s">
        <v>233</v>
      </c>
      <c r="D63" s="122"/>
      <c r="E63" s="119" t="s">
        <v>234</v>
      </c>
      <c r="F63" s="182"/>
      <c r="G63" s="189">
        <v>26450.9</v>
      </c>
      <c r="H63" s="182">
        <f>+H62+F63-G63</f>
        <v>41430.15</v>
      </c>
      <c r="I63" s="116"/>
    </row>
    <row r="64" spans="1:9" x14ac:dyDescent="0.25">
      <c r="A64" s="118">
        <v>4</v>
      </c>
      <c r="B64" s="179">
        <v>45968</v>
      </c>
      <c r="C64" s="126" t="s">
        <v>34</v>
      </c>
      <c r="D64" s="122"/>
      <c r="E64" s="119"/>
      <c r="F64" s="184"/>
      <c r="G64" s="184">
        <v>8204.7000000000007</v>
      </c>
      <c r="H64" s="182">
        <f>+H63+F64-G64</f>
        <v>33225.449999999997</v>
      </c>
      <c r="I64" s="124"/>
    </row>
    <row r="65" spans="1:9" x14ac:dyDescent="0.25">
      <c r="A65" s="118">
        <v>5</v>
      </c>
      <c r="B65" s="179">
        <v>45968</v>
      </c>
      <c r="C65" s="129" t="s">
        <v>231</v>
      </c>
      <c r="D65" s="122"/>
      <c r="E65" s="119" t="s">
        <v>234</v>
      </c>
      <c r="F65" s="184"/>
      <c r="G65" s="188">
        <v>29849.82</v>
      </c>
      <c r="H65" s="182">
        <f t="shared" ref="H65:H87" si="2">+H64+F65-G65</f>
        <v>3375.6299999999974</v>
      </c>
      <c r="I65" s="124"/>
    </row>
    <row r="66" spans="1:9" x14ac:dyDescent="0.25">
      <c r="A66" s="118">
        <v>6</v>
      </c>
      <c r="B66" s="179">
        <v>45968</v>
      </c>
      <c r="C66" s="129" t="s">
        <v>230</v>
      </c>
      <c r="D66" s="122"/>
      <c r="E66" s="119" t="s">
        <v>229</v>
      </c>
      <c r="F66" s="184"/>
      <c r="G66" s="184">
        <v>1470</v>
      </c>
      <c r="H66" s="182">
        <f t="shared" si="2"/>
        <v>1905.6299999999974</v>
      </c>
      <c r="I66" s="124"/>
    </row>
    <row r="67" spans="1:9" x14ac:dyDescent="0.25">
      <c r="A67" s="118">
        <v>7</v>
      </c>
      <c r="B67" s="179">
        <v>45969</v>
      </c>
      <c r="C67" s="200" t="s">
        <v>33</v>
      </c>
      <c r="D67" s="140"/>
      <c r="E67" s="141"/>
      <c r="F67" s="186">
        <v>16520</v>
      </c>
      <c r="G67" s="186"/>
      <c r="H67" s="201">
        <f t="shared" si="2"/>
        <v>18425.629999999997</v>
      </c>
      <c r="I67" s="142"/>
    </row>
    <row r="68" spans="1:9" x14ac:dyDescent="0.25">
      <c r="A68" s="118">
        <v>8</v>
      </c>
      <c r="B68" s="179">
        <v>45970</v>
      </c>
      <c r="C68" s="126" t="s">
        <v>238</v>
      </c>
      <c r="D68" s="122"/>
      <c r="E68" s="119"/>
      <c r="F68" s="184"/>
      <c r="G68" s="185">
        <v>4000</v>
      </c>
      <c r="H68" s="182">
        <f t="shared" si="2"/>
        <v>14425.629999999997</v>
      </c>
      <c r="I68" s="124"/>
    </row>
    <row r="69" spans="1:9" x14ac:dyDescent="0.25">
      <c r="A69" s="118">
        <v>9</v>
      </c>
      <c r="B69" s="179">
        <v>45971</v>
      </c>
      <c r="C69" s="126" t="s">
        <v>239</v>
      </c>
      <c r="D69" s="122"/>
      <c r="E69" s="119"/>
      <c r="F69" s="184"/>
      <c r="G69" s="185">
        <v>8666</v>
      </c>
      <c r="H69" s="182">
        <f t="shared" si="2"/>
        <v>5759.6299999999974</v>
      </c>
      <c r="I69" s="124"/>
    </row>
    <row r="70" spans="1:9" x14ac:dyDescent="0.25">
      <c r="A70" s="118">
        <v>10</v>
      </c>
      <c r="B70" s="179">
        <v>45972</v>
      </c>
      <c r="C70" s="126" t="s">
        <v>37</v>
      </c>
      <c r="D70" s="122"/>
      <c r="E70" s="119"/>
      <c r="F70" s="184"/>
      <c r="G70" s="185">
        <v>5750</v>
      </c>
      <c r="H70" s="182">
        <f t="shared" si="2"/>
        <v>9.6299999999973807</v>
      </c>
      <c r="I70" s="124"/>
    </row>
    <row r="71" spans="1:9" x14ac:dyDescent="0.25">
      <c r="A71" s="118">
        <v>11</v>
      </c>
      <c r="B71" s="231">
        <v>45979</v>
      </c>
      <c r="C71" s="200" t="s">
        <v>33</v>
      </c>
      <c r="D71" s="140"/>
      <c r="E71" s="232"/>
      <c r="F71" s="186">
        <v>60000</v>
      </c>
      <c r="G71" s="187"/>
      <c r="H71" s="201">
        <f t="shared" si="2"/>
        <v>60009.63</v>
      </c>
      <c r="I71" s="142" t="s">
        <v>278</v>
      </c>
    </row>
    <row r="72" spans="1:9" x14ac:dyDescent="0.25">
      <c r="A72" s="118">
        <v>12</v>
      </c>
      <c r="B72" s="121">
        <v>45979</v>
      </c>
      <c r="C72" s="126" t="s">
        <v>257</v>
      </c>
      <c r="D72" s="122"/>
      <c r="E72" s="119"/>
      <c r="F72" s="184"/>
      <c r="G72" s="185">
        <v>30000</v>
      </c>
      <c r="H72" s="182">
        <f t="shared" si="2"/>
        <v>30009.629999999997</v>
      </c>
      <c r="I72" s="124"/>
    </row>
    <row r="73" spans="1:9" x14ac:dyDescent="0.25">
      <c r="A73" s="118">
        <v>13</v>
      </c>
      <c r="B73" s="121">
        <v>45980</v>
      </c>
      <c r="C73" s="125" t="s">
        <v>258</v>
      </c>
      <c r="D73" s="122"/>
      <c r="E73" s="119"/>
      <c r="F73" s="184"/>
      <c r="G73" s="185">
        <v>3000</v>
      </c>
      <c r="H73" s="182">
        <f t="shared" si="2"/>
        <v>27009.629999999997</v>
      </c>
      <c r="I73" s="124"/>
    </row>
    <row r="74" spans="1:9" x14ac:dyDescent="0.25">
      <c r="A74" s="118">
        <v>14</v>
      </c>
      <c r="B74" s="121">
        <v>45981</v>
      </c>
      <c r="C74" s="125" t="s">
        <v>259</v>
      </c>
      <c r="D74" s="122"/>
      <c r="E74" s="119"/>
      <c r="F74" s="184"/>
      <c r="G74" s="185">
        <v>3500</v>
      </c>
      <c r="H74" s="182">
        <f t="shared" si="2"/>
        <v>23509.629999999997</v>
      </c>
      <c r="I74" s="124"/>
    </row>
    <row r="75" spans="1:9" x14ac:dyDescent="0.25">
      <c r="A75" s="118">
        <v>15</v>
      </c>
      <c r="B75" s="121">
        <v>45981</v>
      </c>
      <c r="C75" s="233" t="s">
        <v>260</v>
      </c>
      <c r="D75" s="234"/>
      <c r="E75" s="235"/>
      <c r="F75" s="236"/>
      <c r="G75" s="237">
        <v>180</v>
      </c>
      <c r="H75" s="182">
        <f t="shared" si="2"/>
        <v>23329.629999999997</v>
      </c>
      <c r="I75" s="124"/>
    </row>
    <row r="76" spans="1:9" x14ac:dyDescent="0.25">
      <c r="A76" s="118">
        <v>16</v>
      </c>
      <c r="B76" s="121">
        <v>45983</v>
      </c>
      <c r="C76" s="125" t="s">
        <v>261</v>
      </c>
      <c r="D76" s="122"/>
      <c r="E76" s="119"/>
      <c r="F76" s="184"/>
      <c r="G76" s="185">
        <v>3000</v>
      </c>
      <c r="H76" s="182">
        <f t="shared" si="2"/>
        <v>20329.629999999997</v>
      </c>
      <c r="I76" s="124"/>
    </row>
    <row r="77" spans="1:9" x14ac:dyDescent="0.25">
      <c r="A77" s="118">
        <v>17</v>
      </c>
      <c r="B77" s="121">
        <v>45985</v>
      </c>
      <c r="C77" s="126" t="s">
        <v>272</v>
      </c>
      <c r="D77" s="122"/>
      <c r="E77" s="119"/>
      <c r="F77" s="184"/>
      <c r="G77" s="184">
        <v>4000</v>
      </c>
      <c r="H77" s="182">
        <f t="shared" si="2"/>
        <v>16329.629999999997</v>
      </c>
      <c r="I77" s="124"/>
    </row>
    <row r="78" spans="1:9" x14ac:dyDescent="0.25">
      <c r="A78" s="118">
        <v>18</v>
      </c>
      <c r="B78" s="121">
        <v>45986</v>
      </c>
      <c r="C78" s="125" t="s">
        <v>273</v>
      </c>
      <c r="D78" s="122"/>
      <c r="E78" s="119"/>
      <c r="F78" s="184"/>
      <c r="G78" s="185">
        <v>5740</v>
      </c>
      <c r="H78" s="182">
        <f t="shared" si="2"/>
        <v>10589.629999999997</v>
      </c>
      <c r="I78" s="124"/>
    </row>
    <row r="79" spans="1:9" x14ac:dyDescent="0.25">
      <c r="A79" s="118">
        <v>19</v>
      </c>
      <c r="B79" s="121">
        <v>45987</v>
      </c>
      <c r="C79" s="233" t="s">
        <v>274</v>
      </c>
      <c r="D79" s="234"/>
      <c r="E79" s="235"/>
      <c r="F79" s="236"/>
      <c r="G79" s="237">
        <v>150</v>
      </c>
      <c r="H79" s="182">
        <f t="shared" si="2"/>
        <v>10439.629999999997</v>
      </c>
      <c r="I79" s="124"/>
    </row>
    <row r="80" spans="1:9" x14ac:dyDescent="0.25">
      <c r="A80" s="118">
        <v>20</v>
      </c>
      <c r="B80" s="121">
        <v>45988</v>
      </c>
      <c r="C80" s="126" t="s">
        <v>275</v>
      </c>
      <c r="D80" s="122"/>
      <c r="E80" s="119"/>
      <c r="F80" s="184"/>
      <c r="G80" s="184">
        <v>100</v>
      </c>
      <c r="H80" s="182">
        <f t="shared" si="2"/>
        <v>10339.629999999997</v>
      </c>
      <c r="I80" s="124"/>
    </row>
    <row r="81" spans="1:9" x14ac:dyDescent="0.25">
      <c r="A81" s="118">
        <v>21</v>
      </c>
      <c r="B81" s="121">
        <v>45989</v>
      </c>
      <c r="C81" s="125" t="s">
        <v>276</v>
      </c>
      <c r="D81" s="122"/>
      <c r="E81" s="119"/>
      <c r="F81" s="184"/>
      <c r="G81" s="185">
        <v>1620</v>
      </c>
      <c r="H81" s="182">
        <f t="shared" si="2"/>
        <v>8719.6299999999974</v>
      </c>
      <c r="I81" s="124"/>
    </row>
    <row r="82" spans="1:9" x14ac:dyDescent="0.25">
      <c r="A82" s="118">
        <v>22</v>
      </c>
      <c r="B82" s="121">
        <v>45990</v>
      </c>
      <c r="C82" s="200" t="s">
        <v>33</v>
      </c>
      <c r="D82" s="140"/>
      <c r="E82" s="141"/>
      <c r="F82" s="186">
        <v>50000</v>
      </c>
      <c r="G82" s="187"/>
      <c r="H82" s="201">
        <f t="shared" si="2"/>
        <v>58719.63</v>
      </c>
      <c r="I82" s="142" t="s">
        <v>279</v>
      </c>
    </row>
    <row r="83" spans="1:9" x14ac:dyDescent="0.25">
      <c r="A83" s="118">
        <v>23</v>
      </c>
      <c r="B83" s="121">
        <v>45991</v>
      </c>
      <c r="C83" s="127" t="s">
        <v>277</v>
      </c>
      <c r="D83" s="122"/>
      <c r="E83" s="119"/>
      <c r="F83" s="184"/>
      <c r="G83" s="184">
        <v>34697.019999999997</v>
      </c>
      <c r="H83" s="182">
        <f t="shared" si="2"/>
        <v>24022.61</v>
      </c>
      <c r="I83" s="124"/>
    </row>
    <row r="84" spans="1:9" x14ac:dyDescent="0.25">
      <c r="A84" s="118">
        <v>24</v>
      </c>
      <c r="B84" s="121">
        <v>45991</v>
      </c>
      <c r="C84" s="126" t="s">
        <v>280</v>
      </c>
      <c r="D84" s="122"/>
      <c r="E84" s="119"/>
      <c r="F84" s="184"/>
      <c r="G84" s="184">
        <v>1000</v>
      </c>
      <c r="H84" s="182">
        <f t="shared" si="2"/>
        <v>23022.61</v>
      </c>
      <c r="I84" s="124"/>
    </row>
    <row r="85" spans="1:9" x14ac:dyDescent="0.25">
      <c r="A85" s="118">
        <v>25</v>
      </c>
      <c r="B85" s="121">
        <v>45992</v>
      </c>
      <c r="C85" s="125" t="s">
        <v>281</v>
      </c>
      <c r="D85" s="122"/>
      <c r="E85" s="119"/>
      <c r="F85" s="184"/>
      <c r="G85" s="185">
        <v>5000</v>
      </c>
      <c r="H85" s="182">
        <f t="shared" si="2"/>
        <v>18022.61</v>
      </c>
      <c r="I85" s="124"/>
    </row>
    <row r="86" spans="1:9" x14ac:dyDescent="0.25">
      <c r="A86" s="118">
        <v>26</v>
      </c>
      <c r="B86" s="121">
        <v>45992</v>
      </c>
      <c r="C86" s="125" t="s">
        <v>251</v>
      </c>
      <c r="D86" s="122"/>
      <c r="E86" s="119"/>
      <c r="F86" s="184"/>
      <c r="G86" s="185">
        <v>10800</v>
      </c>
      <c r="H86" s="182">
        <f t="shared" si="2"/>
        <v>7222.6100000000006</v>
      </c>
      <c r="I86" s="124"/>
    </row>
    <row r="87" spans="1:9" x14ac:dyDescent="0.25">
      <c r="A87" s="118">
        <v>27</v>
      </c>
      <c r="B87" s="121">
        <v>45993</v>
      </c>
      <c r="C87" s="125" t="s">
        <v>261</v>
      </c>
      <c r="D87" s="122"/>
      <c r="E87" s="119"/>
      <c r="F87" s="184"/>
      <c r="G87" s="185">
        <v>500</v>
      </c>
      <c r="H87" s="182">
        <f t="shared" si="2"/>
        <v>6722.6100000000006</v>
      </c>
      <c r="I87" s="124"/>
    </row>
    <row r="88" spans="1:9" x14ac:dyDescent="0.25">
      <c r="A88" s="118">
        <v>28</v>
      </c>
      <c r="B88" s="231">
        <v>45994</v>
      </c>
      <c r="C88" s="141" t="s">
        <v>33</v>
      </c>
      <c r="D88" s="140"/>
      <c r="E88" s="141"/>
      <c r="F88" s="186">
        <v>60000</v>
      </c>
      <c r="G88" s="186"/>
      <c r="H88" s="201">
        <f>+H87+F88-G88</f>
        <v>66722.61</v>
      </c>
      <c r="I88" s="142" t="s">
        <v>287</v>
      </c>
    </row>
    <row r="89" spans="1:9" x14ac:dyDescent="0.25">
      <c r="A89" s="118">
        <v>29</v>
      </c>
      <c r="B89" s="121">
        <v>45995</v>
      </c>
      <c r="C89" s="119" t="s">
        <v>288</v>
      </c>
      <c r="D89" s="122"/>
      <c r="E89" s="119"/>
      <c r="F89" s="184"/>
      <c r="G89" s="184">
        <v>27000</v>
      </c>
      <c r="H89" s="182">
        <f>+H88+F89-G89</f>
        <v>39722.61</v>
      </c>
      <c r="I89" s="124"/>
    </row>
    <row r="90" spans="1:9" x14ac:dyDescent="0.25">
      <c r="A90" s="118">
        <v>30</v>
      </c>
      <c r="B90" s="121">
        <v>45996</v>
      </c>
      <c r="C90" s="138" t="s">
        <v>289</v>
      </c>
      <c r="D90" s="138"/>
      <c r="E90" s="138"/>
      <c r="F90" s="254"/>
      <c r="G90" s="254">
        <v>5640</v>
      </c>
      <c r="H90" s="182">
        <f>+H89+F90-G90</f>
        <v>34082.61</v>
      </c>
      <c r="I90" s="138"/>
    </row>
    <row r="91" spans="1:9" x14ac:dyDescent="0.25">
      <c r="A91" s="138"/>
      <c r="B91" s="121">
        <v>45997</v>
      </c>
      <c r="C91" s="138" t="s">
        <v>290</v>
      </c>
      <c r="D91" s="138"/>
      <c r="E91" s="138"/>
      <c r="F91" s="254"/>
      <c r="G91" s="254">
        <v>2000</v>
      </c>
      <c r="H91" s="182">
        <f>+H90+F91-G91</f>
        <v>32082.61</v>
      </c>
      <c r="I91" s="138"/>
    </row>
    <row r="92" spans="1:9" x14ac:dyDescent="0.25">
      <c r="A92" s="138"/>
      <c r="B92" s="121">
        <v>45998</v>
      </c>
      <c r="C92" s="138" t="s">
        <v>291</v>
      </c>
      <c r="D92" s="138"/>
      <c r="E92" s="138"/>
      <c r="F92" s="254"/>
      <c r="G92" s="254">
        <v>6000</v>
      </c>
      <c r="H92" s="182">
        <f t="shared" ref="H92:H110" si="3">+H91+F92-G92</f>
        <v>26082.61</v>
      </c>
      <c r="I92" s="138"/>
    </row>
    <row r="93" spans="1:9" x14ac:dyDescent="0.25">
      <c r="A93" s="138"/>
      <c r="B93" s="121">
        <v>45999</v>
      </c>
      <c r="C93" s="138" t="s">
        <v>230</v>
      </c>
      <c r="D93" s="138"/>
      <c r="E93" s="138"/>
      <c r="F93" s="254"/>
      <c r="G93" s="254">
        <v>1470</v>
      </c>
      <c r="H93" s="182">
        <f t="shared" si="3"/>
        <v>24612.61</v>
      </c>
      <c r="I93" s="138"/>
    </row>
    <row r="94" spans="1:9" x14ac:dyDescent="0.25">
      <c r="A94" s="138"/>
      <c r="B94" s="121">
        <v>46000</v>
      </c>
      <c r="C94" s="138" t="s">
        <v>292</v>
      </c>
      <c r="D94" s="138"/>
      <c r="E94" s="138"/>
      <c r="F94" s="254"/>
      <c r="G94" s="254">
        <v>8205</v>
      </c>
      <c r="H94" s="182">
        <f t="shared" si="3"/>
        <v>16407.61</v>
      </c>
      <c r="I94" s="138"/>
    </row>
    <row r="95" spans="1:9" x14ac:dyDescent="0.25">
      <c r="A95" s="138"/>
      <c r="B95" s="121">
        <v>46001</v>
      </c>
      <c r="C95" s="138" t="s">
        <v>37</v>
      </c>
      <c r="D95" s="138"/>
      <c r="E95" s="138"/>
      <c r="F95" s="254"/>
      <c r="G95" s="254">
        <v>5750</v>
      </c>
      <c r="H95" s="182">
        <f t="shared" si="3"/>
        <v>10657.61</v>
      </c>
      <c r="I95" s="138"/>
    </row>
    <row r="96" spans="1:9" x14ac:dyDescent="0.25">
      <c r="A96" s="138"/>
      <c r="B96" s="121">
        <v>46002</v>
      </c>
      <c r="C96" s="138" t="s">
        <v>36</v>
      </c>
      <c r="D96" s="138"/>
      <c r="E96" s="138"/>
      <c r="F96" s="254"/>
      <c r="G96" s="185">
        <v>8666</v>
      </c>
      <c r="H96" s="182">
        <f t="shared" si="3"/>
        <v>1991.6100000000006</v>
      </c>
      <c r="I96" s="138"/>
    </row>
    <row r="97" spans="1:9" x14ac:dyDescent="0.25">
      <c r="A97" s="138"/>
      <c r="B97" s="231">
        <v>46003</v>
      </c>
      <c r="C97" s="255" t="s">
        <v>33</v>
      </c>
      <c r="D97" s="255"/>
      <c r="E97" s="255"/>
      <c r="F97" s="256">
        <v>65000</v>
      </c>
      <c r="G97" s="256"/>
      <c r="H97" s="201">
        <f t="shared" si="3"/>
        <v>66991.61</v>
      </c>
      <c r="I97" s="255" t="s">
        <v>318</v>
      </c>
    </row>
    <row r="98" spans="1:9" x14ac:dyDescent="0.25">
      <c r="A98" s="138"/>
      <c r="B98" s="121">
        <v>46000</v>
      </c>
      <c r="C98" s="138" t="s">
        <v>301</v>
      </c>
      <c r="D98" s="138"/>
      <c r="E98" s="138"/>
      <c r="F98" s="254"/>
      <c r="G98" s="254">
        <v>18000</v>
      </c>
      <c r="H98" s="182">
        <f t="shared" si="3"/>
        <v>48991.61</v>
      </c>
      <c r="I98" s="138"/>
    </row>
    <row r="99" spans="1:9" x14ac:dyDescent="0.25">
      <c r="A99" s="138"/>
      <c r="B99" s="121">
        <v>46000</v>
      </c>
      <c r="C99" s="138" t="s">
        <v>302</v>
      </c>
      <c r="D99" s="138"/>
      <c r="E99" s="138"/>
      <c r="F99" s="254"/>
      <c r="G99" s="254">
        <v>5950</v>
      </c>
      <c r="H99" s="182">
        <f t="shared" si="3"/>
        <v>43041.61</v>
      </c>
      <c r="I99" s="138"/>
    </row>
    <row r="100" spans="1:9" x14ac:dyDescent="0.25">
      <c r="A100" s="138"/>
      <c r="B100" s="121">
        <v>46000</v>
      </c>
      <c r="C100" s="138" t="s">
        <v>303</v>
      </c>
      <c r="D100" s="138"/>
      <c r="E100" s="138"/>
      <c r="F100" s="254"/>
      <c r="G100" s="254">
        <v>40924.050000000003</v>
      </c>
      <c r="H100" s="182">
        <f t="shared" si="3"/>
        <v>2117.5599999999977</v>
      </c>
      <c r="I100" s="138"/>
    </row>
    <row r="101" spans="1:9" x14ac:dyDescent="0.25">
      <c r="A101" s="138"/>
      <c r="B101" s="231">
        <v>46001</v>
      </c>
      <c r="C101" s="255" t="s">
        <v>306</v>
      </c>
      <c r="D101" s="255"/>
      <c r="E101" s="255"/>
      <c r="F101" s="256">
        <v>50000</v>
      </c>
      <c r="G101" s="256"/>
      <c r="H101" s="201">
        <v>50000</v>
      </c>
      <c r="I101" s="255" t="s">
        <v>319</v>
      </c>
    </row>
    <row r="102" spans="1:9" ht="15.75" x14ac:dyDescent="0.25">
      <c r="A102" s="138"/>
      <c r="B102" s="231">
        <v>46001</v>
      </c>
      <c r="C102" s="138" t="s">
        <v>307</v>
      </c>
      <c r="D102" s="138"/>
      <c r="E102" s="138"/>
      <c r="F102" s="138"/>
      <c r="G102" s="259">
        <v>28363.73</v>
      </c>
      <c r="H102" s="182">
        <f t="shared" si="3"/>
        <v>21636.27</v>
      </c>
      <c r="I102" s="138"/>
    </row>
    <row r="103" spans="1:9" ht="15.75" x14ac:dyDescent="0.25">
      <c r="A103" s="138"/>
      <c r="B103" s="231">
        <v>46001</v>
      </c>
      <c r="C103" s="138" t="s">
        <v>317</v>
      </c>
      <c r="D103" s="138"/>
      <c r="E103" s="138"/>
      <c r="F103" s="138"/>
      <c r="G103" s="86">
        <v>5000</v>
      </c>
      <c r="H103" s="182">
        <f t="shared" si="3"/>
        <v>16636.27</v>
      </c>
      <c r="I103" s="138"/>
    </row>
    <row r="104" spans="1:9" ht="15.75" x14ac:dyDescent="0.25">
      <c r="A104" s="138"/>
      <c r="B104" s="231">
        <v>46004</v>
      </c>
      <c r="C104" s="138" t="s">
        <v>343</v>
      </c>
      <c r="D104" s="138"/>
      <c r="E104" s="138"/>
      <c r="F104" s="138"/>
      <c r="G104" s="86">
        <v>1000</v>
      </c>
      <c r="H104" s="182">
        <f t="shared" si="3"/>
        <v>15636.27</v>
      </c>
      <c r="I104" s="138"/>
    </row>
    <row r="105" spans="1:9" ht="15.75" x14ac:dyDescent="0.25">
      <c r="A105" s="138"/>
      <c r="B105" s="231">
        <v>46005</v>
      </c>
      <c r="C105" s="138" t="s">
        <v>342</v>
      </c>
      <c r="D105" s="138"/>
      <c r="E105" s="138"/>
      <c r="F105" s="138"/>
      <c r="G105" s="86">
        <v>4050</v>
      </c>
      <c r="H105" s="182">
        <f t="shared" si="3"/>
        <v>11586.27</v>
      </c>
      <c r="I105" s="138"/>
    </row>
    <row r="106" spans="1:9" x14ac:dyDescent="0.25">
      <c r="A106" s="138"/>
      <c r="B106" s="231">
        <v>46006</v>
      </c>
      <c r="C106" s="138" t="s">
        <v>77</v>
      </c>
      <c r="D106" s="138"/>
      <c r="E106" s="138"/>
      <c r="F106" s="138"/>
      <c r="G106" s="138">
        <v>11700</v>
      </c>
      <c r="H106" s="182">
        <f t="shared" si="3"/>
        <v>-113.72999999999956</v>
      </c>
      <c r="I106" s="138"/>
    </row>
    <row r="107" spans="1:9" x14ac:dyDescent="0.25">
      <c r="A107" s="138"/>
      <c r="B107" s="231">
        <v>46007</v>
      </c>
      <c r="C107" s="138"/>
      <c r="D107" s="138"/>
      <c r="E107" s="138"/>
      <c r="F107" s="138"/>
      <c r="G107" s="258"/>
      <c r="H107" s="182">
        <f t="shared" si="3"/>
        <v>-113.72999999999956</v>
      </c>
      <c r="I107" s="138"/>
    </row>
    <row r="108" spans="1:9" x14ac:dyDescent="0.25">
      <c r="A108" s="138"/>
      <c r="B108" s="231">
        <v>46008</v>
      </c>
      <c r="C108" s="138"/>
      <c r="D108" s="138"/>
      <c r="E108" s="138"/>
      <c r="F108" s="138"/>
      <c r="G108" s="138"/>
      <c r="H108" s="182">
        <f t="shared" si="3"/>
        <v>-113.72999999999956</v>
      </c>
      <c r="I108" s="138"/>
    </row>
    <row r="109" spans="1:9" x14ac:dyDescent="0.25">
      <c r="A109" s="138"/>
      <c r="B109" s="231">
        <v>46009</v>
      </c>
      <c r="C109" s="138"/>
      <c r="D109" s="138"/>
      <c r="E109" s="138"/>
      <c r="F109" s="138"/>
      <c r="G109" s="138"/>
      <c r="H109" s="182">
        <f t="shared" si="3"/>
        <v>-113.72999999999956</v>
      </c>
      <c r="I109" s="138"/>
    </row>
    <row r="110" spans="1:9" x14ac:dyDescent="0.25">
      <c r="A110" s="138"/>
      <c r="B110" s="231">
        <v>46010</v>
      </c>
      <c r="C110" s="138"/>
      <c r="D110" s="138"/>
      <c r="E110" s="138"/>
      <c r="F110" s="138"/>
      <c r="G110" s="258"/>
      <c r="H110" s="182">
        <f t="shared" si="3"/>
        <v>-113.72999999999956</v>
      </c>
      <c r="I110" s="138"/>
    </row>
    <row r="111" spans="1:9" x14ac:dyDescent="0.25">
      <c r="A111" s="138"/>
      <c r="B111" s="231">
        <v>46011</v>
      </c>
      <c r="C111" s="138"/>
      <c r="D111" s="138"/>
      <c r="E111" s="138"/>
      <c r="F111" s="138"/>
      <c r="G111" s="258"/>
      <c r="H111" s="138"/>
      <c r="I111" s="138"/>
    </row>
    <row r="112" spans="1:9" x14ac:dyDescent="0.25">
      <c r="A112" s="138"/>
      <c r="B112" s="138"/>
      <c r="C112" s="138"/>
      <c r="D112" s="138"/>
      <c r="E112" s="138"/>
      <c r="F112" s="138"/>
      <c r="G112" s="138"/>
      <c r="H112" s="138"/>
      <c r="I112" s="138"/>
    </row>
    <row r="114" spans="7:7" x14ac:dyDescent="0.25">
      <c r="G114" s="257"/>
    </row>
    <row r="117" spans="7:7" x14ac:dyDescent="0.25">
      <c r="G117" s="257"/>
    </row>
    <row r="118" spans="7:7" x14ac:dyDescent="0.25">
      <c r="G118" s="257"/>
    </row>
    <row r="120" spans="7:7" x14ac:dyDescent="0.25">
      <c r="G120" s="257" t="s">
        <v>308</v>
      </c>
    </row>
    <row r="124" spans="7:7" x14ac:dyDescent="0.25">
      <c r="G124" s="257" t="s">
        <v>309</v>
      </c>
    </row>
    <row r="125" spans="7:7" x14ac:dyDescent="0.25">
      <c r="G125" t="s">
        <v>310</v>
      </c>
    </row>
    <row r="127" spans="7:7" x14ac:dyDescent="0.25">
      <c r="G127" s="257" t="s">
        <v>311</v>
      </c>
    </row>
    <row r="131" spans="7:7" x14ac:dyDescent="0.25">
      <c r="G131" t="s">
        <v>312</v>
      </c>
    </row>
    <row r="132" spans="7:7" x14ac:dyDescent="0.25">
      <c r="G132" t="s">
        <v>313</v>
      </c>
    </row>
    <row r="133" spans="7:7" x14ac:dyDescent="0.25">
      <c r="G133" t="s">
        <v>314</v>
      </c>
    </row>
    <row r="135" spans="7:7" x14ac:dyDescent="0.25">
      <c r="G135" s="257" t="s">
        <v>315</v>
      </c>
    </row>
    <row r="136" spans="7:7" x14ac:dyDescent="0.25">
      <c r="G136" t="s">
        <v>316</v>
      </c>
    </row>
  </sheetData>
  <mergeCells count="4">
    <mergeCell ref="A5:I5"/>
    <mergeCell ref="A8:I8"/>
    <mergeCell ref="A55:I55"/>
    <mergeCell ref="A58:I5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06A44-45A1-4DB2-BF29-EBCE8D5AC8F8}">
  <dimension ref="C1:K47"/>
  <sheetViews>
    <sheetView tabSelected="1" topLeftCell="B21" workbookViewId="0">
      <selection activeCell="I43" sqref="I43"/>
    </sheetView>
  </sheetViews>
  <sheetFormatPr defaultRowHeight="15" x14ac:dyDescent="0.25"/>
  <cols>
    <col min="3" max="3" width="8.28515625" customWidth="1"/>
    <col min="4" max="4" width="25.42578125" customWidth="1"/>
    <col min="5" max="5" width="26.28515625" customWidth="1"/>
    <col min="6" max="6" width="5.85546875" customWidth="1"/>
    <col min="7" max="7" width="19.140625" customWidth="1"/>
    <col min="8" max="8" width="23.42578125" customWidth="1"/>
    <col min="9" max="9" width="18" customWidth="1"/>
    <col min="10" max="10" width="23.28515625" customWidth="1"/>
    <col min="11" max="11" width="12.42578125" customWidth="1"/>
  </cols>
  <sheetData>
    <row r="1" spans="3:11" x14ac:dyDescent="0.25">
      <c r="C1" s="107">
        <f>+Acess!C1</f>
        <v>0</v>
      </c>
      <c r="D1" s="107"/>
      <c r="E1" s="107"/>
      <c r="F1" s="107"/>
      <c r="G1" s="107"/>
      <c r="H1" s="107"/>
      <c r="I1" s="107"/>
      <c r="J1" s="107"/>
      <c r="K1" s="107"/>
    </row>
    <row r="2" spans="3:11" x14ac:dyDescent="0.25">
      <c r="C2" s="107">
        <f>+Acess!C2</f>
        <v>0</v>
      </c>
      <c r="D2" s="108">
        <v>401761349</v>
      </c>
      <c r="E2" s="108"/>
      <c r="F2" s="108"/>
      <c r="G2" s="108"/>
      <c r="H2" s="108"/>
      <c r="I2" s="108"/>
      <c r="J2" s="108"/>
      <c r="K2" s="108"/>
    </row>
    <row r="3" spans="3:11" x14ac:dyDescent="0.25">
      <c r="C3" s="107">
        <f>+Acess!C3</f>
        <v>0</v>
      </c>
      <c r="D3" s="108">
        <v>2025</v>
      </c>
      <c r="E3" s="108"/>
      <c r="F3" s="108"/>
      <c r="G3" s="108"/>
      <c r="H3" s="108"/>
      <c r="I3" s="108"/>
      <c r="J3" s="108"/>
      <c r="K3" s="108"/>
    </row>
    <row r="4" spans="3:11" x14ac:dyDescent="0.25">
      <c r="C4" s="108"/>
      <c r="D4" s="108"/>
      <c r="E4" s="108"/>
      <c r="F4" s="108"/>
      <c r="G4" s="108"/>
      <c r="H4" s="108"/>
      <c r="I4" s="108"/>
      <c r="J4" s="108"/>
      <c r="K4" s="108"/>
    </row>
    <row r="5" spans="3:11" ht="15.75" thickBot="1" x14ac:dyDescent="0.3">
      <c r="C5" s="306" t="s">
        <v>10</v>
      </c>
      <c r="D5" s="306"/>
      <c r="E5" s="306"/>
      <c r="F5" s="306"/>
      <c r="G5" s="306"/>
      <c r="H5" s="306"/>
      <c r="I5" s="306"/>
      <c r="J5" s="306"/>
      <c r="K5" s="306"/>
    </row>
    <row r="6" spans="3:11" ht="15.75" thickTop="1" x14ac:dyDescent="0.25">
      <c r="C6" s="108"/>
      <c r="D6" s="108"/>
      <c r="E6" s="108"/>
      <c r="F6" s="108"/>
      <c r="G6" s="108"/>
      <c r="H6" s="108"/>
      <c r="I6" s="108"/>
      <c r="J6" s="108"/>
      <c r="K6" s="108"/>
    </row>
    <row r="7" spans="3:11" x14ac:dyDescent="0.25">
      <c r="C7" s="107" t="s">
        <v>11</v>
      </c>
      <c r="D7" s="108"/>
      <c r="E7" s="108"/>
      <c r="F7" s="108"/>
      <c r="G7" s="108"/>
      <c r="H7" s="108"/>
      <c r="I7" s="108"/>
      <c r="J7" s="108"/>
      <c r="K7" s="108"/>
    </row>
    <row r="8" spans="3:11" ht="15.75" thickBot="1" x14ac:dyDescent="0.3">
      <c r="C8" s="307" t="s">
        <v>14</v>
      </c>
      <c r="D8" s="307"/>
      <c r="E8" s="307"/>
      <c r="F8" s="307"/>
      <c r="G8" s="307"/>
      <c r="H8" s="307"/>
      <c r="I8" s="307"/>
      <c r="J8" s="307"/>
      <c r="K8" s="307"/>
    </row>
    <row r="9" spans="3:11" ht="16.5" thickTop="1" thickBot="1" x14ac:dyDescent="0.3">
      <c r="C9" s="108"/>
      <c r="D9" s="108"/>
      <c r="E9" s="108"/>
      <c r="F9" s="108"/>
      <c r="G9" s="108"/>
      <c r="H9" s="108"/>
      <c r="I9" s="108"/>
      <c r="J9" s="109"/>
      <c r="K9" s="110"/>
    </row>
    <row r="10" spans="3:11" ht="15.75" thickBot="1" x14ac:dyDescent="0.3">
      <c r="C10" s="111" t="s">
        <v>0</v>
      </c>
      <c r="D10" s="112" t="s">
        <v>1</v>
      </c>
      <c r="E10" s="112" t="s">
        <v>2</v>
      </c>
      <c r="F10" s="112" t="s">
        <v>82</v>
      </c>
      <c r="G10" s="112" t="s">
        <v>20</v>
      </c>
      <c r="H10" s="113" t="s">
        <v>7</v>
      </c>
      <c r="I10" s="112"/>
      <c r="J10" s="112" t="s">
        <v>9</v>
      </c>
      <c r="K10" s="114" t="s">
        <v>3</v>
      </c>
    </row>
    <row r="11" spans="3:11" x14ac:dyDescent="0.25">
      <c r="C11" s="115">
        <v>1</v>
      </c>
      <c r="D11" s="249"/>
      <c r="E11" s="117" t="s">
        <v>345</v>
      </c>
      <c r="F11" s="130"/>
      <c r="G11" s="130"/>
      <c r="H11" s="180">
        <v>260000</v>
      </c>
      <c r="I11" s="180"/>
      <c r="J11" s="181"/>
      <c r="K11" s="130"/>
    </row>
    <row r="12" spans="3:11" x14ac:dyDescent="0.25">
      <c r="C12" s="118">
        <v>2</v>
      </c>
      <c r="D12" s="179"/>
      <c r="E12" s="126" t="s">
        <v>346</v>
      </c>
      <c r="F12" s="119"/>
      <c r="G12" s="119"/>
      <c r="H12" s="182"/>
      <c r="I12" s="182">
        <v>170000</v>
      </c>
      <c r="J12" s="183">
        <f>SUM(H11-I12)</f>
        <v>90000</v>
      </c>
      <c r="K12" s="116"/>
    </row>
    <row r="13" spans="3:11" x14ac:dyDescent="0.25">
      <c r="C13" s="118">
        <v>3</v>
      </c>
      <c r="D13" s="179"/>
      <c r="E13" s="126" t="s">
        <v>347</v>
      </c>
      <c r="F13" s="122"/>
      <c r="G13" s="119"/>
      <c r="H13" s="182"/>
      <c r="I13" s="189">
        <v>66000</v>
      </c>
      <c r="J13" s="182">
        <f>+J12+H13-I13</f>
        <v>24000</v>
      </c>
      <c r="K13" s="116"/>
    </row>
    <row r="14" spans="3:11" x14ac:dyDescent="0.25">
      <c r="C14" s="118">
        <v>5</v>
      </c>
      <c r="D14" s="179"/>
      <c r="E14" s="129" t="s">
        <v>348</v>
      </c>
      <c r="F14" s="122"/>
      <c r="G14" s="119"/>
      <c r="H14" s="184"/>
      <c r="I14" s="188">
        <v>910</v>
      </c>
      <c r="J14" s="182">
        <f>+J13+H14-I14</f>
        <v>23090</v>
      </c>
      <c r="K14" s="124"/>
    </row>
    <row r="15" spans="3:11" x14ac:dyDescent="0.25">
      <c r="C15" s="118">
        <v>6</v>
      </c>
      <c r="D15" s="179"/>
      <c r="E15" s="129" t="s">
        <v>349</v>
      </c>
      <c r="F15" s="122"/>
      <c r="G15" s="119"/>
      <c r="H15" s="184"/>
      <c r="I15" s="184">
        <v>10300</v>
      </c>
      <c r="J15" s="182">
        <f t="shared" ref="J15:J38" si="0">+J14+H15-I15</f>
        <v>12790</v>
      </c>
      <c r="K15" s="124"/>
    </row>
    <row r="16" spans="3:11" x14ac:dyDescent="0.25">
      <c r="C16" s="118">
        <v>7</v>
      </c>
      <c r="D16" s="251"/>
      <c r="E16" s="126" t="s">
        <v>350</v>
      </c>
      <c r="F16" s="234"/>
      <c r="G16" s="235"/>
      <c r="H16" s="236"/>
      <c r="I16" s="236">
        <v>150</v>
      </c>
      <c r="J16" s="252">
        <f t="shared" si="0"/>
        <v>12640</v>
      </c>
      <c r="K16" s="253"/>
    </row>
    <row r="17" spans="3:11" x14ac:dyDescent="0.25">
      <c r="C17" s="118">
        <v>8</v>
      </c>
      <c r="D17" s="121"/>
      <c r="E17" s="126" t="s">
        <v>351</v>
      </c>
      <c r="F17" s="122"/>
      <c r="G17" s="119"/>
      <c r="H17" s="184"/>
      <c r="I17" s="185">
        <v>6400</v>
      </c>
      <c r="J17" s="182">
        <f>+J16+H17-I17</f>
        <v>6240</v>
      </c>
      <c r="K17" s="124"/>
    </row>
    <row r="18" spans="3:11" x14ac:dyDescent="0.25">
      <c r="C18" s="118">
        <v>9</v>
      </c>
      <c r="D18" s="121"/>
      <c r="E18" s="126" t="s">
        <v>352</v>
      </c>
      <c r="F18" s="122"/>
      <c r="G18" s="119"/>
      <c r="H18" s="184"/>
      <c r="I18" s="185">
        <v>1000</v>
      </c>
      <c r="J18" s="182">
        <f t="shared" si="0"/>
        <v>5240</v>
      </c>
      <c r="K18" s="124"/>
    </row>
    <row r="19" spans="3:11" x14ac:dyDescent="0.25">
      <c r="C19" s="118">
        <v>10</v>
      </c>
      <c r="D19" s="121"/>
      <c r="E19" s="126" t="s">
        <v>358</v>
      </c>
      <c r="F19" s="122"/>
      <c r="G19" s="119"/>
      <c r="H19" s="184"/>
      <c r="I19" s="185">
        <v>5030</v>
      </c>
      <c r="J19" s="182">
        <f t="shared" si="0"/>
        <v>210</v>
      </c>
      <c r="K19" s="124"/>
    </row>
    <row r="20" spans="3:11" x14ac:dyDescent="0.25">
      <c r="C20" s="118">
        <v>11</v>
      </c>
      <c r="D20" s="251"/>
      <c r="E20" s="126" t="s">
        <v>359</v>
      </c>
      <c r="F20" s="234"/>
      <c r="G20" s="289"/>
      <c r="H20" s="236"/>
      <c r="I20" s="237">
        <v>310</v>
      </c>
      <c r="J20" s="252">
        <f t="shared" si="0"/>
        <v>-100</v>
      </c>
      <c r="K20" s="253"/>
    </row>
    <row r="21" spans="3:11" x14ac:dyDescent="0.25">
      <c r="C21" s="118">
        <v>12</v>
      </c>
      <c r="D21" s="231"/>
      <c r="E21" s="200" t="s">
        <v>33</v>
      </c>
      <c r="F21" s="140"/>
      <c r="G21" s="141"/>
      <c r="H21" s="186">
        <v>23000</v>
      </c>
      <c r="I21" s="187"/>
      <c r="J21" s="201">
        <f t="shared" si="0"/>
        <v>22900</v>
      </c>
      <c r="K21" s="142"/>
    </row>
    <row r="22" spans="3:11" x14ac:dyDescent="0.25">
      <c r="C22" s="118">
        <v>13</v>
      </c>
      <c r="D22" s="121"/>
      <c r="E22" s="125" t="s">
        <v>77</v>
      </c>
      <c r="F22" s="122"/>
      <c r="G22" s="119"/>
      <c r="H22" s="184"/>
      <c r="I22" s="185">
        <v>22905.42</v>
      </c>
      <c r="J22" s="182">
        <f t="shared" si="0"/>
        <v>-5.4199999999982538</v>
      </c>
      <c r="K22" s="124"/>
    </row>
    <row r="23" spans="3:11" x14ac:dyDescent="0.25">
      <c r="C23" s="118">
        <v>14</v>
      </c>
      <c r="D23" s="121"/>
      <c r="E23" s="125"/>
      <c r="F23" s="122"/>
      <c r="G23" s="119"/>
      <c r="H23" s="184"/>
      <c r="I23" s="185"/>
      <c r="J23" s="182">
        <f t="shared" si="0"/>
        <v>-5.4199999999982538</v>
      </c>
      <c r="K23" s="124"/>
    </row>
    <row r="24" spans="3:11" x14ac:dyDescent="0.25">
      <c r="C24" s="118">
        <v>15</v>
      </c>
      <c r="D24" s="121"/>
      <c r="E24" s="233"/>
      <c r="F24" s="234"/>
      <c r="G24" s="235"/>
      <c r="H24" s="236"/>
      <c r="I24" s="237"/>
      <c r="J24" s="182">
        <f t="shared" si="0"/>
        <v>-5.4199999999982538</v>
      </c>
      <c r="K24" s="124"/>
    </row>
    <row r="25" spans="3:11" x14ac:dyDescent="0.25">
      <c r="C25" s="118">
        <v>16</v>
      </c>
      <c r="D25" s="121"/>
      <c r="E25" s="125"/>
      <c r="F25" s="122"/>
      <c r="G25" s="119"/>
      <c r="H25" s="184"/>
      <c r="I25" s="185"/>
      <c r="J25" s="182">
        <f t="shared" si="0"/>
        <v>-5.4199999999982538</v>
      </c>
      <c r="K25" s="124"/>
    </row>
    <row r="26" spans="3:11" x14ac:dyDescent="0.25">
      <c r="C26" s="118">
        <v>17</v>
      </c>
      <c r="D26" s="121"/>
      <c r="E26" s="126"/>
      <c r="F26" s="122"/>
      <c r="G26" s="119"/>
      <c r="H26" s="184"/>
      <c r="I26" s="184"/>
      <c r="J26" s="182">
        <f t="shared" si="0"/>
        <v>-5.4199999999982538</v>
      </c>
      <c r="K26" s="124"/>
    </row>
    <row r="27" spans="3:11" x14ac:dyDescent="0.25">
      <c r="C27" s="118">
        <v>18</v>
      </c>
      <c r="D27" s="121"/>
      <c r="E27" s="125"/>
      <c r="F27" s="122"/>
      <c r="G27" s="119"/>
      <c r="H27" s="184"/>
      <c r="I27" s="185"/>
      <c r="J27" s="182">
        <f t="shared" si="0"/>
        <v>-5.4199999999982538</v>
      </c>
      <c r="K27" s="124"/>
    </row>
    <row r="28" spans="3:11" x14ac:dyDescent="0.25">
      <c r="C28" s="118">
        <v>19</v>
      </c>
      <c r="D28" s="121"/>
      <c r="E28" s="233"/>
      <c r="F28" s="234"/>
      <c r="G28" s="235"/>
      <c r="H28" s="236"/>
      <c r="I28" s="237"/>
      <c r="J28" s="182">
        <f t="shared" si="0"/>
        <v>-5.4199999999982538</v>
      </c>
      <c r="K28" s="124"/>
    </row>
    <row r="29" spans="3:11" x14ac:dyDescent="0.25">
      <c r="C29" s="118">
        <v>20</v>
      </c>
      <c r="D29" s="121"/>
      <c r="E29" s="126"/>
      <c r="F29" s="122"/>
      <c r="G29" s="119"/>
      <c r="H29" s="184"/>
      <c r="I29" s="184"/>
      <c r="J29" s="182">
        <f t="shared" si="0"/>
        <v>-5.4199999999982538</v>
      </c>
      <c r="K29" s="124"/>
    </row>
    <row r="30" spans="3:11" x14ac:dyDescent="0.25">
      <c r="C30" s="118">
        <v>21</v>
      </c>
      <c r="D30" s="121"/>
      <c r="E30" s="125"/>
      <c r="F30" s="122"/>
      <c r="G30" s="119"/>
      <c r="H30" s="184"/>
      <c r="I30" s="185"/>
      <c r="J30" s="182">
        <f t="shared" si="0"/>
        <v>-5.4199999999982538</v>
      </c>
      <c r="K30" s="124"/>
    </row>
    <row r="31" spans="3:11" x14ac:dyDescent="0.25">
      <c r="C31" s="118">
        <v>22</v>
      </c>
      <c r="D31" s="231"/>
      <c r="E31" s="200" t="s">
        <v>33</v>
      </c>
      <c r="F31" s="140"/>
      <c r="G31" s="141"/>
      <c r="H31" s="186">
        <v>50000</v>
      </c>
      <c r="I31" s="187"/>
      <c r="J31" s="201">
        <v>50000</v>
      </c>
      <c r="K31" s="142"/>
    </row>
    <row r="32" spans="3:11" x14ac:dyDescent="0.25">
      <c r="C32" s="118">
        <v>23</v>
      </c>
      <c r="D32" s="121" t="s">
        <v>362</v>
      </c>
      <c r="E32" s="127"/>
      <c r="F32" s="122"/>
      <c r="G32" s="119"/>
      <c r="H32" s="184"/>
      <c r="I32" s="184">
        <v>12458.83</v>
      </c>
      <c r="J32" s="182">
        <f>+J31+H32-I32</f>
        <v>37541.17</v>
      </c>
      <c r="K32" s="124"/>
    </row>
    <row r="33" spans="3:11" x14ac:dyDescent="0.25">
      <c r="C33" s="118">
        <v>24</v>
      </c>
      <c r="D33" s="121" t="s">
        <v>361</v>
      </c>
      <c r="E33" s="126"/>
      <c r="F33" s="122"/>
      <c r="G33" s="119"/>
      <c r="H33" s="184"/>
      <c r="I33" s="184">
        <v>25000</v>
      </c>
      <c r="J33" s="182">
        <f t="shared" si="0"/>
        <v>12541.169999999998</v>
      </c>
      <c r="K33" s="124"/>
    </row>
    <row r="34" spans="3:11" x14ac:dyDescent="0.25">
      <c r="C34" s="118">
        <v>25</v>
      </c>
      <c r="D34" s="121" t="s">
        <v>343</v>
      </c>
      <c r="E34" s="125"/>
      <c r="F34" s="122"/>
      <c r="G34" s="119"/>
      <c r="H34" s="184"/>
      <c r="I34" s="185">
        <v>1000</v>
      </c>
      <c r="J34" s="182">
        <f t="shared" si="0"/>
        <v>11541.169999999998</v>
      </c>
      <c r="K34" s="124"/>
    </row>
    <row r="35" spans="3:11" x14ac:dyDescent="0.25">
      <c r="C35" s="118">
        <v>26</v>
      </c>
      <c r="D35" s="121" t="s">
        <v>92</v>
      </c>
      <c r="E35" s="125"/>
      <c r="F35" s="122"/>
      <c r="G35" s="119"/>
      <c r="H35" s="184"/>
      <c r="I35" s="185">
        <v>2000</v>
      </c>
      <c r="J35" s="182">
        <f t="shared" si="0"/>
        <v>9541.1699999999983</v>
      </c>
      <c r="K35" s="124"/>
    </row>
    <row r="36" spans="3:11" x14ac:dyDescent="0.25">
      <c r="C36" s="138">
        <v>27</v>
      </c>
      <c r="D36" s="138" t="s">
        <v>362</v>
      </c>
      <c r="E36" s="138"/>
      <c r="F36" s="138"/>
      <c r="G36" s="138"/>
      <c r="H36" s="138"/>
      <c r="I36" s="185">
        <v>470.09</v>
      </c>
      <c r="J36" s="182">
        <f t="shared" si="0"/>
        <v>9071.0799999999981</v>
      </c>
      <c r="K36" s="138"/>
    </row>
    <row r="37" spans="3:11" x14ac:dyDescent="0.25">
      <c r="C37" s="138">
        <v>28</v>
      </c>
      <c r="D37" s="138" t="s">
        <v>363</v>
      </c>
      <c r="E37" s="138"/>
      <c r="F37" s="138"/>
      <c r="G37" s="138"/>
      <c r="H37" s="138"/>
      <c r="I37" s="185">
        <v>6500</v>
      </c>
      <c r="J37" s="182">
        <f t="shared" si="0"/>
        <v>2571.0799999999981</v>
      </c>
      <c r="K37" s="138"/>
    </row>
    <row r="38" spans="3:11" x14ac:dyDescent="0.25">
      <c r="C38" s="138">
        <v>29</v>
      </c>
      <c r="D38" s="138" t="s">
        <v>364</v>
      </c>
      <c r="E38" s="138"/>
      <c r="F38" s="138"/>
      <c r="G38" s="138"/>
      <c r="H38" s="138"/>
      <c r="I38" s="185">
        <v>2500</v>
      </c>
      <c r="J38" s="182">
        <f t="shared" si="0"/>
        <v>71.079999999998108</v>
      </c>
      <c r="K38" s="138"/>
    </row>
    <row r="39" spans="3:11" x14ac:dyDescent="0.25">
      <c r="C39" s="138">
        <v>30</v>
      </c>
      <c r="D39" s="138"/>
      <c r="E39" s="138"/>
      <c r="F39" s="138"/>
      <c r="G39" s="138"/>
      <c r="H39" s="138"/>
      <c r="I39" s="185"/>
      <c r="J39" s="138"/>
      <c r="K39" s="138"/>
    </row>
    <row r="40" spans="3:11" x14ac:dyDescent="0.25">
      <c r="C40" s="138">
        <v>31</v>
      </c>
      <c r="D40" s="138"/>
      <c r="E40" s="138"/>
      <c r="F40" s="138"/>
      <c r="G40" s="138"/>
      <c r="H40" s="138"/>
      <c r="I40" s="185"/>
      <c r="J40" s="138"/>
      <c r="K40" s="138"/>
    </row>
    <row r="41" spans="3:11" x14ac:dyDescent="0.25">
      <c r="C41" s="138"/>
      <c r="D41" s="138"/>
      <c r="E41" s="138"/>
      <c r="F41" s="138"/>
      <c r="G41" s="138"/>
      <c r="H41" s="138"/>
      <c r="I41" s="185"/>
      <c r="J41" s="138"/>
      <c r="K41" s="138"/>
    </row>
    <row r="42" spans="3:11" x14ac:dyDescent="0.25">
      <c r="C42" s="138"/>
      <c r="D42" s="138"/>
      <c r="E42" s="138"/>
      <c r="F42" s="138"/>
      <c r="G42" s="138"/>
      <c r="H42" s="138"/>
      <c r="I42" s="185"/>
      <c r="J42" s="138"/>
      <c r="K42" s="138"/>
    </row>
    <row r="43" spans="3:11" x14ac:dyDescent="0.25">
      <c r="C43" s="138"/>
      <c r="D43" s="138"/>
      <c r="E43" s="138"/>
      <c r="F43" s="138"/>
      <c r="G43" s="138"/>
      <c r="H43" s="138"/>
      <c r="I43" s="185"/>
      <c r="J43" s="138"/>
      <c r="K43" s="138"/>
    </row>
    <row r="44" spans="3:11" x14ac:dyDescent="0.25">
      <c r="C44" s="138"/>
      <c r="D44" s="138"/>
      <c r="E44" s="138"/>
      <c r="F44" s="138"/>
      <c r="G44" s="138"/>
      <c r="H44" s="138"/>
      <c r="I44" s="185"/>
      <c r="J44" s="138"/>
      <c r="K44" s="138"/>
    </row>
    <row r="45" spans="3:11" x14ac:dyDescent="0.25">
      <c r="C45" s="138"/>
      <c r="D45" s="138"/>
      <c r="E45" s="138"/>
      <c r="F45" s="138"/>
      <c r="G45" s="138"/>
      <c r="H45" s="138"/>
      <c r="I45" s="138"/>
      <c r="J45" s="138"/>
      <c r="K45" s="138"/>
    </row>
    <row r="46" spans="3:11" x14ac:dyDescent="0.25">
      <c r="C46" s="138"/>
      <c r="D46" s="138"/>
      <c r="E46" s="138"/>
      <c r="F46" s="138"/>
      <c r="G46" s="138"/>
      <c r="H46" s="138"/>
      <c r="I46" s="138"/>
      <c r="J46" s="138"/>
      <c r="K46" s="138"/>
    </row>
    <row r="47" spans="3:11" x14ac:dyDescent="0.25">
      <c r="C47" s="138"/>
      <c r="D47" s="138"/>
      <c r="E47" s="138"/>
      <c r="F47" s="138"/>
      <c r="G47" s="138"/>
      <c r="H47" s="138"/>
      <c r="I47" s="138"/>
      <c r="J47" s="138"/>
      <c r="K47" s="138"/>
    </row>
  </sheetData>
  <mergeCells count="2">
    <mergeCell ref="C5:K5"/>
    <mergeCell ref="C8:K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B544-4AA7-429C-8385-04FEAAA971BB}">
  <dimension ref="A1:H21"/>
  <sheetViews>
    <sheetView workbookViewId="0">
      <selection activeCell="F25" sqref="F25"/>
    </sheetView>
  </sheetViews>
  <sheetFormatPr defaultRowHeight="15" x14ac:dyDescent="0.25"/>
  <cols>
    <col min="2" max="2" width="12.28515625" customWidth="1"/>
    <col min="3" max="3" width="28.7109375" customWidth="1"/>
    <col min="4" max="4" width="24.42578125" customWidth="1"/>
    <col min="5" max="5" width="22.85546875" customWidth="1"/>
    <col min="6" max="6" width="23.140625" customWidth="1"/>
    <col min="7" max="7" width="25.85546875" customWidth="1"/>
  </cols>
  <sheetData>
    <row r="1" spans="1:7" x14ac:dyDescent="0.25">
      <c r="A1" s="108"/>
      <c r="B1" s="108"/>
      <c r="C1" s="108"/>
      <c r="D1" s="108"/>
      <c r="E1" s="108"/>
      <c r="F1" s="108"/>
      <c r="G1" s="108"/>
    </row>
    <row r="2" spans="1:7" ht="15.75" thickBot="1" x14ac:dyDescent="0.3">
      <c r="A2" s="306" t="s">
        <v>321</v>
      </c>
      <c r="B2" s="306"/>
      <c r="C2" s="306"/>
      <c r="D2" s="306"/>
      <c r="E2" s="306"/>
      <c r="F2" s="306"/>
      <c r="G2" s="306"/>
    </row>
    <row r="3" spans="1:7" ht="15.75" thickTop="1" x14ac:dyDescent="0.25">
      <c r="A3" s="108"/>
      <c r="B3" s="108"/>
      <c r="C3" s="108"/>
      <c r="D3" s="108"/>
      <c r="E3" s="108"/>
      <c r="F3" s="108"/>
      <c r="G3" s="108"/>
    </row>
    <row r="4" spans="1:7" x14ac:dyDescent="0.25">
      <c r="A4" s="107" t="s">
        <v>320</v>
      </c>
      <c r="B4" s="108"/>
      <c r="C4" s="108"/>
      <c r="D4" s="108"/>
      <c r="E4" s="108"/>
      <c r="F4" s="108"/>
      <c r="G4" s="108"/>
    </row>
    <row r="5" spans="1:7" ht="15.75" thickBot="1" x14ac:dyDescent="0.3">
      <c r="A5" s="307" t="s">
        <v>353</v>
      </c>
      <c r="B5" s="307"/>
      <c r="C5" s="307"/>
      <c r="D5" s="307"/>
      <c r="E5" s="307"/>
      <c r="F5" s="307"/>
      <c r="G5" s="307"/>
    </row>
    <row r="6" spans="1:7" ht="16.5" thickTop="1" thickBot="1" x14ac:dyDescent="0.3">
      <c r="A6" s="108"/>
      <c r="B6" s="108"/>
      <c r="C6" s="108"/>
      <c r="D6" s="108"/>
      <c r="E6" s="108"/>
      <c r="F6" s="108"/>
      <c r="G6" s="109"/>
    </row>
    <row r="7" spans="1:7" ht="16.5" thickBot="1" x14ac:dyDescent="0.3">
      <c r="A7" s="260" t="s">
        <v>0</v>
      </c>
      <c r="B7" s="261"/>
      <c r="C7" s="284" t="s">
        <v>2</v>
      </c>
      <c r="D7" s="284" t="s">
        <v>335</v>
      </c>
      <c r="E7" s="285" t="s">
        <v>333</v>
      </c>
      <c r="F7" s="286" t="s">
        <v>334</v>
      </c>
      <c r="G7" s="271" t="s">
        <v>9</v>
      </c>
    </row>
    <row r="8" spans="1:7" ht="16.5" thickBot="1" x14ac:dyDescent="0.3">
      <c r="A8" s="262">
        <v>1</v>
      </c>
      <c r="B8" s="263"/>
      <c r="C8" s="266" t="s">
        <v>322</v>
      </c>
      <c r="D8" s="267" t="s">
        <v>356</v>
      </c>
      <c r="E8" s="268">
        <v>687341.15</v>
      </c>
      <c r="F8" s="269">
        <v>646879.27</v>
      </c>
      <c r="G8" s="287">
        <f>E8-F8</f>
        <v>40461.880000000005</v>
      </c>
    </row>
    <row r="9" spans="1:7" ht="16.5" thickBot="1" x14ac:dyDescent="0.3">
      <c r="A9" s="264">
        <v>2</v>
      </c>
      <c r="B9" s="263"/>
      <c r="C9" s="270" t="s">
        <v>323</v>
      </c>
      <c r="D9" s="267" t="s">
        <v>356</v>
      </c>
      <c r="E9" s="269">
        <v>138749.51999999999</v>
      </c>
      <c r="F9" s="272">
        <v>102836.78</v>
      </c>
      <c r="G9" s="287">
        <f>G8+E9-F9</f>
        <v>76374.62</v>
      </c>
    </row>
    <row r="10" spans="1:7" ht="16.5" thickBot="1" x14ac:dyDescent="0.3">
      <c r="A10" s="264">
        <v>3</v>
      </c>
      <c r="B10" s="263"/>
      <c r="C10" s="270" t="s">
        <v>324</v>
      </c>
      <c r="D10" s="267" t="s">
        <v>356</v>
      </c>
      <c r="E10" s="273">
        <v>193977.86</v>
      </c>
      <c r="F10" s="274">
        <v>162185.18</v>
      </c>
      <c r="G10" s="287">
        <f t="shared" ref="G10:G21" si="0">G9+E10-F10</f>
        <v>108167.29999999999</v>
      </c>
    </row>
    <row r="11" spans="1:7" ht="16.5" thickBot="1" x14ac:dyDescent="0.3">
      <c r="A11" s="264">
        <v>4</v>
      </c>
      <c r="B11" s="263"/>
      <c r="C11" s="270" t="s">
        <v>325</v>
      </c>
      <c r="D11" s="267" t="s">
        <v>356</v>
      </c>
      <c r="E11" s="273">
        <v>911501.53</v>
      </c>
      <c r="F11" s="275">
        <v>973286.92</v>
      </c>
      <c r="G11" s="287">
        <f t="shared" si="0"/>
        <v>46381.910000000033</v>
      </c>
    </row>
    <row r="12" spans="1:7" ht="16.5" thickBot="1" x14ac:dyDescent="0.3">
      <c r="A12" s="264">
        <v>5</v>
      </c>
      <c r="B12" s="263"/>
      <c r="C12" s="270" t="s">
        <v>326</v>
      </c>
      <c r="D12" s="267" t="s">
        <v>356</v>
      </c>
      <c r="E12" s="273">
        <v>62968.74</v>
      </c>
      <c r="F12" s="276">
        <v>61839.199999999997</v>
      </c>
      <c r="G12" s="287">
        <f t="shared" si="0"/>
        <v>47511.450000000026</v>
      </c>
    </row>
    <row r="13" spans="1:7" ht="16.5" thickBot="1" x14ac:dyDescent="0.3">
      <c r="A13" s="264">
        <v>6</v>
      </c>
      <c r="B13" s="263"/>
      <c r="C13" s="270" t="s">
        <v>327</v>
      </c>
      <c r="D13" s="267" t="s">
        <v>356</v>
      </c>
      <c r="E13" s="277">
        <v>1105783.55</v>
      </c>
      <c r="F13" s="275">
        <v>1071285.25</v>
      </c>
      <c r="G13" s="287">
        <f t="shared" si="0"/>
        <v>82009.75</v>
      </c>
    </row>
    <row r="14" spans="1:7" ht="16.5" thickBot="1" x14ac:dyDescent="0.3">
      <c r="A14" s="264">
        <v>8</v>
      </c>
      <c r="B14" s="263"/>
      <c r="C14" s="278" t="s">
        <v>328</v>
      </c>
      <c r="D14" s="267" t="s">
        <v>356</v>
      </c>
      <c r="E14" s="266">
        <v>370578.91</v>
      </c>
      <c r="F14" s="279">
        <v>344676.18</v>
      </c>
      <c r="G14" s="287">
        <f t="shared" si="0"/>
        <v>107912.47999999998</v>
      </c>
    </row>
    <row r="15" spans="1:7" ht="16.5" thickBot="1" x14ac:dyDescent="0.3">
      <c r="A15" s="264">
        <v>9</v>
      </c>
      <c r="B15" s="263"/>
      <c r="C15" s="278" t="s">
        <v>329</v>
      </c>
      <c r="D15" s="267" t="s">
        <v>356</v>
      </c>
      <c r="E15" s="270">
        <v>271275.81</v>
      </c>
      <c r="F15" s="279">
        <v>308561.65999999997</v>
      </c>
      <c r="G15" s="287">
        <f t="shared" si="0"/>
        <v>70626.63</v>
      </c>
    </row>
    <row r="16" spans="1:7" ht="16.5" thickBot="1" x14ac:dyDescent="0.3">
      <c r="A16" s="264">
        <v>10</v>
      </c>
      <c r="B16" s="263"/>
      <c r="C16" s="278" t="s">
        <v>330</v>
      </c>
      <c r="D16" s="267" t="s">
        <v>356</v>
      </c>
      <c r="E16" s="270">
        <v>736016.22</v>
      </c>
      <c r="F16" s="279">
        <v>827895.12</v>
      </c>
      <c r="G16" s="288">
        <f t="shared" si="0"/>
        <v>-21252.270000000019</v>
      </c>
    </row>
    <row r="17" spans="1:8" ht="16.5" thickBot="1" x14ac:dyDescent="0.3">
      <c r="A17" s="264">
        <v>11</v>
      </c>
      <c r="B17" s="265"/>
      <c r="C17" s="278" t="s">
        <v>357</v>
      </c>
      <c r="D17" s="267" t="s">
        <v>356</v>
      </c>
      <c r="E17" s="280"/>
      <c r="F17" s="279">
        <v>5800</v>
      </c>
      <c r="G17" s="288">
        <f t="shared" si="0"/>
        <v>-27052.270000000019</v>
      </c>
      <c r="H17" t="s">
        <v>354</v>
      </c>
    </row>
    <row r="18" spans="1:8" ht="16.5" thickBot="1" x14ac:dyDescent="0.3">
      <c r="A18" s="264">
        <v>12</v>
      </c>
      <c r="B18" s="265"/>
      <c r="C18" s="281" t="s">
        <v>331</v>
      </c>
      <c r="D18" s="267" t="s">
        <v>356</v>
      </c>
      <c r="E18" s="282">
        <v>291384.82</v>
      </c>
      <c r="F18" s="283">
        <v>230042.43</v>
      </c>
      <c r="G18" s="287">
        <f t="shared" si="0"/>
        <v>34290.119999999995</v>
      </c>
    </row>
    <row r="19" spans="1:8" ht="16.5" thickBot="1" x14ac:dyDescent="0.3">
      <c r="A19" s="264">
        <v>13</v>
      </c>
      <c r="B19" s="265"/>
      <c r="C19" s="270" t="s">
        <v>332</v>
      </c>
      <c r="D19" s="267" t="s">
        <v>356</v>
      </c>
      <c r="E19" s="282">
        <v>1118808.25</v>
      </c>
      <c r="F19" s="279">
        <v>1158490.1000000001</v>
      </c>
      <c r="G19" s="288">
        <f t="shared" si="0"/>
        <v>-5391.7299999999814</v>
      </c>
    </row>
    <row r="20" spans="1:8" ht="16.5" thickBot="1" x14ac:dyDescent="0.3">
      <c r="A20" s="264">
        <v>14</v>
      </c>
      <c r="B20" s="265"/>
      <c r="C20" s="266" t="s">
        <v>60</v>
      </c>
      <c r="D20" s="267" t="s">
        <v>356</v>
      </c>
      <c r="E20" s="282">
        <v>28363.73</v>
      </c>
      <c r="F20" s="283">
        <v>24209.93</v>
      </c>
      <c r="G20" s="288">
        <f t="shared" si="0"/>
        <v>-1237.9299999999821</v>
      </c>
    </row>
    <row r="21" spans="1:8" ht="16.5" thickBot="1" x14ac:dyDescent="0.3">
      <c r="A21" s="264">
        <v>15</v>
      </c>
      <c r="B21" s="265"/>
      <c r="C21" s="270" t="s">
        <v>355</v>
      </c>
      <c r="D21" s="267" t="s">
        <v>356</v>
      </c>
      <c r="E21" s="282"/>
      <c r="F21" s="279">
        <v>81700</v>
      </c>
      <c r="G21" s="288">
        <f t="shared" si="0"/>
        <v>-82937.929999999978</v>
      </c>
    </row>
  </sheetData>
  <mergeCells count="2">
    <mergeCell ref="A2:G2"/>
    <mergeCell ref="A5:G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8FC7-0868-495B-9D2F-0C7BCA5B95E8}">
  <dimension ref="A1:I59"/>
  <sheetViews>
    <sheetView workbookViewId="0">
      <selection activeCell="B61" sqref="B61"/>
    </sheetView>
  </sheetViews>
  <sheetFormatPr defaultRowHeight="15" x14ac:dyDescent="0.25"/>
  <cols>
    <col min="3" max="3" width="24.7109375" customWidth="1"/>
    <col min="4" max="4" width="14" customWidth="1"/>
    <col min="5" max="5" width="16" customWidth="1"/>
    <col min="6" max="6" width="27.28515625" customWidth="1"/>
    <col min="7" max="7" width="29.5703125" customWidth="1"/>
    <col min="8" max="8" width="30.85546875" customWidth="1"/>
  </cols>
  <sheetData>
    <row r="1" spans="1:9" x14ac:dyDescent="0.25">
      <c r="A1" s="108"/>
      <c r="B1" s="108"/>
      <c r="C1" s="108"/>
      <c r="D1" s="108"/>
      <c r="E1" s="108"/>
      <c r="F1" s="108"/>
      <c r="G1" s="108"/>
      <c r="H1" s="108"/>
      <c r="I1" s="108"/>
    </row>
    <row r="2" spans="1:9" ht="15.75" thickBot="1" x14ac:dyDescent="0.3">
      <c r="A2" s="306" t="s">
        <v>321</v>
      </c>
      <c r="B2" s="306"/>
      <c r="C2" s="306"/>
      <c r="D2" s="306"/>
      <c r="E2" s="306"/>
      <c r="F2" s="306"/>
      <c r="G2" s="306"/>
      <c r="H2" s="306"/>
      <c r="I2" s="306"/>
    </row>
    <row r="3" spans="1:9" ht="15.75" thickTop="1" x14ac:dyDescent="0.25">
      <c r="A3" s="108"/>
      <c r="B3" s="108"/>
      <c r="C3" s="108"/>
      <c r="D3" s="108"/>
      <c r="E3" s="108"/>
      <c r="F3" s="108"/>
      <c r="G3" s="108"/>
      <c r="H3" s="108"/>
      <c r="I3" s="108"/>
    </row>
    <row r="4" spans="1:9" x14ac:dyDescent="0.25">
      <c r="A4" s="107" t="s">
        <v>320</v>
      </c>
      <c r="B4" s="108"/>
      <c r="C4" s="108"/>
      <c r="D4" s="108"/>
      <c r="E4" s="108"/>
      <c r="F4" s="108"/>
      <c r="G4" s="108"/>
      <c r="H4" s="108"/>
      <c r="I4" s="108"/>
    </row>
    <row r="5" spans="1:9" ht="15.75" thickBot="1" x14ac:dyDescent="0.3">
      <c r="A5" s="307" t="s">
        <v>14</v>
      </c>
      <c r="B5" s="307"/>
      <c r="C5" s="307"/>
      <c r="D5" s="307"/>
      <c r="E5" s="307"/>
      <c r="F5" s="307"/>
      <c r="G5" s="307"/>
      <c r="H5" s="307"/>
      <c r="I5" s="307"/>
    </row>
    <row r="6" spans="1:9" ht="16.5" thickTop="1" thickBot="1" x14ac:dyDescent="0.3">
      <c r="A6" s="108"/>
      <c r="B6" s="108"/>
      <c r="C6" s="108"/>
      <c r="D6" s="108"/>
      <c r="E6" s="108"/>
      <c r="F6" s="108"/>
      <c r="G6" s="108"/>
      <c r="H6" s="109"/>
      <c r="I6" s="110"/>
    </row>
    <row r="7" spans="1:9" ht="15.75" thickBot="1" x14ac:dyDescent="0.3">
      <c r="A7" s="111" t="s">
        <v>0</v>
      </c>
      <c r="B7" s="112" t="s">
        <v>1</v>
      </c>
      <c r="C7" s="112" t="s">
        <v>2</v>
      </c>
      <c r="D7" s="112" t="s">
        <v>82</v>
      </c>
      <c r="E7" s="112" t="s">
        <v>20</v>
      </c>
      <c r="F7" s="113" t="s">
        <v>7</v>
      </c>
      <c r="G7" s="112" t="s">
        <v>8</v>
      </c>
      <c r="H7" s="112" t="s">
        <v>9</v>
      </c>
      <c r="I7" s="114" t="s">
        <v>3</v>
      </c>
    </row>
    <row r="8" spans="1:9" x14ac:dyDescent="0.25">
      <c r="A8" s="115">
        <v>1</v>
      </c>
      <c r="B8" s="249"/>
      <c r="C8" s="117"/>
      <c r="D8" s="130"/>
      <c r="E8" s="130"/>
      <c r="F8" s="180"/>
      <c r="G8" s="180"/>
      <c r="H8" s="181"/>
      <c r="I8" s="130"/>
    </row>
    <row r="9" spans="1:9" x14ac:dyDescent="0.25">
      <c r="A9" s="118">
        <v>2</v>
      </c>
      <c r="B9" s="179"/>
      <c r="C9" s="126"/>
      <c r="D9" s="119"/>
      <c r="E9" s="119"/>
      <c r="F9" s="182"/>
      <c r="G9" s="182"/>
      <c r="H9" s="183">
        <f>SUM(F8-G9)</f>
        <v>0</v>
      </c>
      <c r="I9" s="116"/>
    </row>
    <row r="10" spans="1:9" x14ac:dyDescent="0.25">
      <c r="A10" s="118">
        <v>3</v>
      </c>
      <c r="B10" s="179"/>
      <c r="C10" s="126"/>
      <c r="D10" s="122"/>
      <c r="E10" s="119"/>
      <c r="F10" s="182"/>
      <c r="G10" s="189"/>
      <c r="H10" s="182">
        <f>+H9+F10-G10</f>
        <v>0</v>
      </c>
      <c r="I10" s="116"/>
    </row>
    <row r="11" spans="1:9" x14ac:dyDescent="0.25">
      <c r="A11" s="118">
        <v>4</v>
      </c>
      <c r="B11" s="179"/>
      <c r="C11" s="126"/>
      <c r="D11" s="122"/>
      <c r="E11" s="119"/>
      <c r="F11" s="184"/>
      <c r="G11" s="184"/>
      <c r="H11" s="182">
        <f>+H10+F11-G11</f>
        <v>0</v>
      </c>
      <c r="I11" s="124"/>
    </row>
    <row r="12" spans="1:9" x14ac:dyDescent="0.25">
      <c r="A12" s="118">
        <v>5</v>
      </c>
      <c r="B12" s="179"/>
      <c r="C12" s="129"/>
      <c r="D12" s="122"/>
      <c r="E12" s="119"/>
      <c r="F12" s="184"/>
      <c r="G12" s="188"/>
      <c r="H12" s="182">
        <f t="shared" ref="H12:H34" si="0">+H11+F12-G12</f>
        <v>0</v>
      </c>
      <c r="I12" s="124"/>
    </row>
    <row r="13" spans="1:9" x14ac:dyDescent="0.25">
      <c r="A13" s="118">
        <v>6</v>
      </c>
      <c r="B13" s="179"/>
      <c r="C13" s="129"/>
      <c r="D13" s="122"/>
      <c r="E13" s="119"/>
      <c r="F13" s="184"/>
      <c r="G13" s="184"/>
      <c r="H13" s="182">
        <f t="shared" si="0"/>
        <v>0</v>
      </c>
      <c r="I13" s="124"/>
    </row>
    <row r="14" spans="1:9" x14ac:dyDescent="0.25">
      <c r="A14" s="118">
        <v>7</v>
      </c>
      <c r="B14" s="179"/>
      <c r="C14" s="200"/>
      <c r="D14" s="140"/>
      <c r="E14" s="141"/>
      <c r="F14" s="186"/>
      <c r="G14" s="186"/>
      <c r="H14" s="201">
        <f t="shared" si="0"/>
        <v>0</v>
      </c>
      <c r="I14" s="142"/>
    </row>
    <row r="15" spans="1:9" x14ac:dyDescent="0.25">
      <c r="A15" s="118">
        <v>8</v>
      </c>
      <c r="B15" s="179"/>
      <c r="C15" s="126"/>
      <c r="D15" s="122"/>
      <c r="E15" s="119"/>
      <c r="F15" s="184"/>
      <c r="G15" s="185"/>
      <c r="H15" s="182">
        <f t="shared" si="0"/>
        <v>0</v>
      </c>
      <c r="I15" s="124"/>
    </row>
    <row r="16" spans="1:9" x14ac:dyDescent="0.25">
      <c r="A16" s="118">
        <v>9</v>
      </c>
      <c r="B16" s="179"/>
      <c r="C16" s="126"/>
      <c r="D16" s="122"/>
      <c r="E16" s="119"/>
      <c r="F16" s="184"/>
      <c r="G16" s="185"/>
      <c r="H16" s="182">
        <f t="shared" si="0"/>
        <v>0</v>
      </c>
      <c r="I16" s="124"/>
    </row>
    <row r="17" spans="1:9" x14ac:dyDescent="0.25">
      <c r="A17" s="118">
        <v>10</v>
      </c>
      <c r="B17" s="179"/>
      <c r="C17" s="126"/>
      <c r="D17" s="122"/>
      <c r="E17" s="119"/>
      <c r="F17" s="184"/>
      <c r="G17" s="185"/>
      <c r="H17" s="182">
        <f t="shared" si="0"/>
        <v>0</v>
      </c>
      <c r="I17" s="124"/>
    </row>
    <row r="18" spans="1:9" x14ac:dyDescent="0.25">
      <c r="A18" s="118">
        <v>11</v>
      </c>
      <c r="B18" s="231"/>
      <c r="C18" s="200"/>
      <c r="D18" s="140"/>
      <c r="E18" s="232"/>
      <c r="F18" s="186"/>
      <c r="G18" s="187"/>
      <c r="H18" s="201">
        <f t="shared" si="0"/>
        <v>0</v>
      </c>
      <c r="I18" s="142"/>
    </row>
    <row r="19" spans="1:9" x14ac:dyDescent="0.25">
      <c r="A19" s="118">
        <v>12</v>
      </c>
      <c r="B19" s="121"/>
      <c r="C19" s="126"/>
      <c r="D19" s="122"/>
      <c r="E19" s="119"/>
      <c r="F19" s="184"/>
      <c r="G19" s="185"/>
      <c r="H19" s="182">
        <f t="shared" si="0"/>
        <v>0</v>
      </c>
      <c r="I19" s="124"/>
    </row>
    <row r="20" spans="1:9" x14ac:dyDescent="0.25">
      <c r="A20" s="118">
        <v>13</v>
      </c>
      <c r="B20" s="121"/>
      <c r="C20" s="125"/>
      <c r="D20" s="122"/>
      <c r="E20" s="119"/>
      <c r="F20" s="184"/>
      <c r="G20" s="185"/>
      <c r="H20" s="182">
        <f t="shared" si="0"/>
        <v>0</v>
      </c>
      <c r="I20" s="124"/>
    </row>
    <row r="21" spans="1:9" x14ac:dyDescent="0.25">
      <c r="A21" s="118">
        <v>14</v>
      </c>
      <c r="B21" s="121"/>
      <c r="C21" s="125"/>
      <c r="D21" s="122"/>
      <c r="E21" s="119"/>
      <c r="F21" s="184"/>
      <c r="G21" s="185"/>
      <c r="H21" s="182">
        <f t="shared" si="0"/>
        <v>0</v>
      </c>
      <c r="I21" s="124"/>
    </row>
    <row r="22" spans="1:9" x14ac:dyDescent="0.25">
      <c r="A22" s="118">
        <v>15</v>
      </c>
      <c r="B22" s="121"/>
      <c r="C22" s="233"/>
      <c r="D22" s="234"/>
      <c r="E22" s="235"/>
      <c r="F22" s="236"/>
      <c r="G22" s="237"/>
      <c r="H22" s="182">
        <f t="shared" si="0"/>
        <v>0</v>
      </c>
      <c r="I22" s="124"/>
    </row>
    <row r="23" spans="1:9" x14ac:dyDescent="0.25">
      <c r="A23" s="118">
        <v>16</v>
      </c>
      <c r="B23" s="121"/>
      <c r="C23" s="125"/>
      <c r="D23" s="122"/>
      <c r="E23" s="119"/>
      <c r="F23" s="184"/>
      <c r="G23" s="185"/>
      <c r="H23" s="182">
        <f t="shared" si="0"/>
        <v>0</v>
      </c>
      <c r="I23" s="124"/>
    </row>
    <row r="24" spans="1:9" x14ac:dyDescent="0.25">
      <c r="A24" s="118">
        <v>17</v>
      </c>
      <c r="B24" s="121"/>
      <c r="C24" s="126"/>
      <c r="D24" s="122"/>
      <c r="E24" s="119"/>
      <c r="F24" s="184"/>
      <c r="G24" s="184"/>
      <c r="H24" s="182">
        <f t="shared" si="0"/>
        <v>0</v>
      </c>
      <c r="I24" s="124"/>
    </row>
    <row r="25" spans="1:9" x14ac:dyDescent="0.25">
      <c r="A25" s="118">
        <v>18</v>
      </c>
      <c r="B25" s="121"/>
      <c r="C25" s="125"/>
      <c r="D25" s="122"/>
      <c r="E25" s="119"/>
      <c r="F25" s="184"/>
      <c r="G25" s="185"/>
      <c r="H25" s="182">
        <f t="shared" si="0"/>
        <v>0</v>
      </c>
      <c r="I25" s="124"/>
    </row>
    <row r="26" spans="1:9" x14ac:dyDescent="0.25">
      <c r="A26" s="118">
        <v>19</v>
      </c>
      <c r="B26" s="121"/>
      <c r="C26" s="233"/>
      <c r="D26" s="234"/>
      <c r="E26" s="235"/>
      <c r="F26" s="236"/>
      <c r="G26" s="237"/>
      <c r="H26" s="182">
        <f t="shared" si="0"/>
        <v>0</v>
      </c>
      <c r="I26" s="124"/>
    </row>
    <row r="27" spans="1:9" x14ac:dyDescent="0.25">
      <c r="A27" s="118">
        <v>20</v>
      </c>
      <c r="B27" s="121"/>
      <c r="C27" s="126"/>
      <c r="D27" s="122"/>
      <c r="E27" s="119"/>
      <c r="F27" s="184"/>
      <c r="G27" s="184"/>
      <c r="H27" s="182">
        <f t="shared" si="0"/>
        <v>0</v>
      </c>
      <c r="I27" s="124"/>
    </row>
    <row r="28" spans="1:9" x14ac:dyDescent="0.25">
      <c r="A28" s="118">
        <v>21</v>
      </c>
      <c r="B28" s="121"/>
      <c r="C28" s="125"/>
      <c r="D28" s="122"/>
      <c r="E28" s="119"/>
      <c r="F28" s="184"/>
      <c r="G28" s="185"/>
      <c r="H28" s="182">
        <f t="shared" si="0"/>
        <v>0</v>
      </c>
      <c r="I28" s="124"/>
    </row>
    <row r="29" spans="1:9" x14ac:dyDescent="0.25">
      <c r="A29" s="118">
        <v>22</v>
      </c>
      <c r="B29" s="121"/>
      <c r="C29" s="200"/>
      <c r="D29" s="140"/>
      <c r="E29" s="141"/>
      <c r="F29" s="186"/>
      <c r="G29" s="187"/>
      <c r="H29" s="201">
        <f t="shared" si="0"/>
        <v>0</v>
      </c>
      <c r="I29" s="142"/>
    </row>
    <row r="30" spans="1:9" x14ac:dyDescent="0.25">
      <c r="A30" s="118">
        <v>23</v>
      </c>
      <c r="B30" s="121"/>
      <c r="C30" s="127"/>
      <c r="D30" s="122"/>
      <c r="E30" s="119"/>
      <c r="F30" s="184"/>
      <c r="G30" s="184"/>
      <c r="H30" s="182">
        <f t="shared" si="0"/>
        <v>0</v>
      </c>
      <c r="I30" s="124"/>
    </row>
    <row r="31" spans="1:9" x14ac:dyDescent="0.25">
      <c r="A31" s="118">
        <v>24</v>
      </c>
      <c r="B31" s="121"/>
      <c r="C31" s="126"/>
      <c r="D31" s="122"/>
      <c r="E31" s="119"/>
      <c r="F31" s="184"/>
      <c r="G31" s="184"/>
      <c r="H31" s="182">
        <f t="shared" si="0"/>
        <v>0</v>
      </c>
      <c r="I31" s="124"/>
    </row>
    <row r="32" spans="1:9" x14ac:dyDescent="0.25">
      <c r="A32" s="118">
        <v>25</v>
      </c>
      <c r="B32" s="121"/>
      <c r="C32" s="125"/>
      <c r="D32" s="122"/>
      <c r="E32" s="119"/>
      <c r="F32" s="184"/>
      <c r="G32" s="185"/>
      <c r="H32" s="182">
        <f t="shared" si="0"/>
        <v>0</v>
      </c>
      <c r="I32" s="124"/>
    </row>
    <row r="33" spans="1:9" x14ac:dyDescent="0.25">
      <c r="A33" s="118">
        <v>26</v>
      </c>
      <c r="B33" s="121"/>
      <c r="C33" s="125"/>
      <c r="D33" s="122"/>
      <c r="E33" s="119"/>
      <c r="F33" s="184"/>
      <c r="G33" s="185"/>
      <c r="H33" s="182">
        <f t="shared" si="0"/>
        <v>0</v>
      </c>
      <c r="I33" s="124"/>
    </row>
    <row r="34" spans="1:9" x14ac:dyDescent="0.25">
      <c r="A34" s="118">
        <v>27</v>
      </c>
      <c r="B34" s="121"/>
      <c r="C34" s="125"/>
      <c r="D34" s="122"/>
      <c r="E34" s="119"/>
      <c r="F34" s="184"/>
      <c r="G34" s="185"/>
      <c r="H34" s="182">
        <f t="shared" si="0"/>
        <v>0</v>
      </c>
      <c r="I34" s="124"/>
    </row>
    <row r="35" spans="1:9" x14ac:dyDescent="0.25">
      <c r="A35" s="118">
        <v>28</v>
      </c>
      <c r="B35" s="121"/>
      <c r="C35" s="141"/>
      <c r="D35" s="140"/>
      <c r="E35" s="141"/>
      <c r="F35" s="186"/>
      <c r="G35" s="186"/>
      <c r="H35" s="201">
        <f>+H34+F35-G35</f>
        <v>0</v>
      </c>
      <c r="I35" s="142"/>
    </row>
    <row r="36" spans="1:9" x14ac:dyDescent="0.25">
      <c r="A36" s="118">
        <v>29</v>
      </c>
      <c r="B36" s="121"/>
      <c r="C36" s="119"/>
      <c r="D36" s="122"/>
      <c r="E36" s="119"/>
      <c r="F36" s="184"/>
      <c r="G36" s="184"/>
      <c r="H36" s="182">
        <f>+H35+F36-G36</f>
        <v>0</v>
      </c>
      <c r="I36" s="124"/>
    </row>
    <row r="37" spans="1:9" x14ac:dyDescent="0.25">
      <c r="A37" s="118">
        <v>30</v>
      </c>
      <c r="B37" s="121"/>
      <c r="C37" s="138"/>
      <c r="D37" s="138"/>
      <c r="E37" s="138"/>
      <c r="F37" s="254"/>
      <c r="G37" s="254"/>
      <c r="H37" s="182">
        <f>+H36+F37-G37</f>
        <v>0</v>
      </c>
      <c r="I37" s="138"/>
    </row>
    <row r="38" spans="1:9" x14ac:dyDescent="0.25">
      <c r="A38" s="138"/>
      <c r="B38" s="121"/>
      <c r="C38" s="138"/>
      <c r="D38" s="138"/>
      <c r="E38" s="138"/>
      <c r="F38" s="254"/>
      <c r="G38" s="254"/>
      <c r="H38" s="182">
        <f>+H37+F38-G38</f>
        <v>0</v>
      </c>
      <c r="I38" s="138"/>
    </row>
    <row r="39" spans="1:9" x14ac:dyDescent="0.25">
      <c r="A39" s="138"/>
      <c r="B39" s="121"/>
      <c r="C39" s="138"/>
      <c r="D39" s="138"/>
      <c r="E39" s="138"/>
      <c r="F39" s="254"/>
      <c r="G39" s="254"/>
      <c r="H39" s="182">
        <f t="shared" ref="H39:H57" si="1">+H38+F39-G39</f>
        <v>0</v>
      </c>
      <c r="I39" s="138"/>
    </row>
    <row r="40" spans="1:9" x14ac:dyDescent="0.25">
      <c r="A40" s="138"/>
      <c r="B40" s="121"/>
      <c r="C40" s="138"/>
      <c r="D40" s="138"/>
      <c r="E40" s="138"/>
      <c r="F40" s="254"/>
      <c r="G40" s="254"/>
      <c r="H40" s="182">
        <f t="shared" si="1"/>
        <v>0</v>
      </c>
      <c r="I40" s="138"/>
    </row>
    <row r="41" spans="1:9" x14ac:dyDescent="0.25">
      <c r="A41" s="138"/>
      <c r="B41" s="121"/>
      <c r="C41" s="138"/>
      <c r="D41" s="138"/>
      <c r="E41" s="138"/>
      <c r="F41" s="254"/>
      <c r="G41" s="254"/>
      <c r="H41" s="182">
        <f t="shared" si="1"/>
        <v>0</v>
      </c>
      <c r="I41" s="138"/>
    </row>
    <row r="42" spans="1:9" x14ac:dyDescent="0.25">
      <c r="A42" s="138"/>
      <c r="B42" s="121"/>
      <c r="C42" s="138"/>
      <c r="D42" s="138"/>
      <c r="E42" s="138"/>
      <c r="F42" s="254"/>
      <c r="G42" s="254"/>
      <c r="H42" s="182">
        <f t="shared" si="1"/>
        <v>0</v>
      </c>
      <c r="I42" s="138"/>
    </row>
    <row r="43" spans="1:9" x14ac:dyDescent="0.25">
      <c r="A43" s="138"/>
      <c r="B43" s="121"/>
      <c r="C43" s="138"/>
      <c r="D43" s="138"/>
      <c r="E43" s="138"/>
      <c r="F43" s="254"/>
      <c r="G43" s="185"/>
      <c r="H43" s="182">
        <f t="shared" si="1"/>
        <v>0</v>
      </c>
      <c r="I43" s="138"/>
    </row>
    <row r="44" spans="1:9" x14ac:dyDescent="0.25">
      <c r="A44" s="138"/>
      <c r="B44" s="231"/>
      <c r="C44" s="255"/>
      <c r="D44" s="255"/>
      <c r="E44" s="255"/>
      <c r="F44" s="256"/>
      <c r="G44" s="256"/>
      <c r="H44" s="201">
        <f t="shared" si="1"/>
        <v>0</v>
      </c>
      <c r="I44" s="255"/>
    </row>
    <row r="45" spans="1:9" x14ac:dyDescent="0.25">
      <c r="A45" s="138"/>
      <c r="B45" s="121"/>
      <c r="C45" s="138"/>
      <c r="D45" s="138"/>
      <c r="E45" s="138"/>
      <c r="F45" s="254"/>
      <c r="G45" s="254"/>
      <c r="H45" s="182">
        <f t="shared" si="1"/>
        <v>0</v>
      </c>
      <c r="I45" s="138"/>
    </row>
    <row r="46" spans="1:9" x14ac:dyDescent="0.25">
      <c r="A46" s="138"/>
      <c r="B46" s="121"/>
      <c r="C46" s="138"/>
      <c r="D46" s="138"/>
      <c r="E46" s="138"/>
      <c r="F46" s="254"/>
      <c r="G46" s="254"/>
      <c r="H46" s="182">
        <f t="shared" si="1"/>
        <v>0</v>
      </c>
      <c r="I46" s="138"/>
    </row>
    <row r="47" spans="1:9" x14ac:dyDescent="0.25">
      <c r="A47" s="138"/>
      <c r="B47" s="121"/>
      <c r="C47" s="138"/>
      <c r="D47" s="138"/>
      <c r="E47" s="138"/>
      <c r="F47" s="254"/>
      <c r="G47" s="254"/>
      <c r="H47" s="182">
        <f t="shared" si="1"/>
        <v>0</v>
      </c>
      <c r="I47" s="138"/>
    </row>
    <row r="48" spans="1:9" x14ac:dyDescent="0.25">
      <c r="A48" s="138"/>
      <c r="B48" s="231"/>
      <c r="C48" s="255"/>
      <c r="D48" s="255"/>
      <c r="E48" s="255"/>
      <c r="F48" s="256"/>
      <c r="G48" s="256"/>
      <c r="H48" s="201">
        <f t="shared" si="1"/>
        <v>0</v>
      </c>
      <c r="I48" s="255"/>
    </row>
    <row r="49" spans="1:9" ht="15.75" x14ac:dyDescent="0.25">
      <c r="A49" s="138"/>
      <c r="B49" s="231"/>
      <c r="C49" s="138"/>
      <c r="D49" s="138"/>
      <c r="E49" s="138"/>
      <c r="F49" s="138"/>
      <c r="G49" s="259"/>
      <c r="H49" s="182">
        <f t="shared" si="1"/>
        <v>0</v>
      </c>
      <c r="I49" s="138"/>
    </row>
    <row r="50" spans="1:9" x14ac:dyDescent="0.25">
      <c r="A50" s="138"/>
      <c r="B50" s="231"/>
      <c r="C50" s="138"/>
      <c r="D50" s="138"/>
      <c r="E50" s="138"/>
      <c r="F50" s="138"/>
      <c r="G50" s="138"/>
      <c r="H50" s="182">
        <f t="shared" si="1"/>
        <v>0</v>
      </c>
      <c r="I50" s="138"/>
    </row>
    <row r="51" spans="1:9" x14ac:dyDescent="0.25">
      <c r="A51" s="138"/>
      <c r="B51" s="231"/>
      <c r="C51" s="138"/>
      <c r="D51" s="138"/>
      <c r="E51" s="138"/>
      <c r="F51" s="138"/>
      <c r="G51" s="258"/>
      <c r="H51" s="182">
        <f t="shared" si="1"/>
        <v>0</v>
      </c>
      <c r="I51" s="138"/>
    </row>
    <row r="52" spans="1:9" x14ac:dyDescent="0.25">
      <c r="A52" s="138"/>
      <c r="B52" s="231"/>
      <c r="C52" s="138"/>
      <c r="D52" s="138"/>
      <c r="E52" s="138"/>
      <c r="F52" s="138"/>
      <c r="G52" s="138"/>
      <c r="H52" s="182">
        <f t="shared" si="1"/>
        <v>0</v>
      </c>
      <c r="I52" s="138"/>
    </row>
    <row r="53" spans="1:9" x14ac:dyDescent="0.25">
      <c r="A53" s="138"/>
      <c r="B53" s="231"/>
      <c r="C53" s="138"/>
      <c r="D53" s="138"/>
      <c r="E53" s="138"/>
      <c r="F53" s="138"/>
      <c r="G53" s="138"/>
      <c r="H53" s="182">
        <f t="shared" si="1"/>
        <v>0</v>
      </c>
      <c r="I53" s="138"/>
    </row>
    <row r="54" spans="1:9" x14ac:dyDescent="0.25">
      <c r="A54" s="138"/>
      <c r="B54" s="231"/>
      <c r="C54" s="138"/>
      <c r="D54" s="138"/>
      <c r="E54" s="138"/>
      <c r="F54" s="138"/>
      <c r="G54" s="258"/>
      <c r="H54" s="182">
        <f t="shared" si="1"/>
        <v>0</v>
      </c>
      <c r="I54" s="138"/>
    </row>
    <row r="55" spans="1:9" x14ac:dyDescent="0.25">
      <c r="A55" s="138"/>
      <c r="B55" s="231"/>
      <c r="C55" s="138"/>
      <c r="D55" s="138"/>
      <c r="E55" s="138"/>
      <c r="F55" s="138"/>
      <c r="G55" s="138"/>
      <c r="H55" s="182">
        <f t="shared" si="1"/>
        <v>0</v>
      </c>
      <c r="I55" s="138"/>
    </row>
    <row r="56" spans="1:9" x14ac:dyDescent="0.25">
      <c r="A56" s="138"/>
      <c r="B56" s="231"/>
      <c r="C56" s="138"/>
      <c r="D56" s="138"/>
      <c r="E56" s="138"/>
      <c r="F56" s="138"/>
      <c r="G56" s="138"/>
      <c r="H56" s="182">
        <f t="shared" si="1"/>
        <v>0</v>
      </c>
      <c r="I56" s="138"/>
    </row>
    <row r="57" spans="1:9" x14ac:dyDescent="0.25">
      <c r="A57" s="138"/>
      <c r="B57" s="231"/>
      <c r="C57" s="138"/>
      <c r="D57" s="138"/>
      <c r="E57" s="138"/>
      <c r="F57" s="138"/>
      <c r="G57" s="258"/>
      <c r="H57" s="182">
        <f t="shared" si="1"/>
        <v>0</v>
      </c>
      <c r="I57" s="138"/>
    </row>
    <row r="58" spans="1:9" x14ac:dyDescent="0.25">
      <c r="A58" s="138"/>
      <c r="B58" s="231"/>
      <c r="C58" s="138"/>
      <c r="D58" s="138"/>
      <c r="E58" s="138"/>
      <c r="F58" s="138"/>
      <c r="G58" s="258"/>
      <c r="H58" s="138"/>
      <c r="I58" s="138"/>
    </row>
    <row r="59" spans="1:9" x14ac:dyDescent="0.25">
      <c r="A59" s="138"/>
      <c r="B59" s="138"/>
      <c r="C59" s="138"/>
      <c r="D59" s="138"/>
      <c r="E59" s="138"/>
      <c r="F59" s="138"/>
      <c r="G59" s="138"/>
      <c r="H59" s="138"/>
      <c r="I59" s="138"/>
    </row>
  </sheetData>
  <mergeCells count="2">
    <mergeCell ref="A2:I2"/>
    <mergeCell ref="A5:I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32A4-CEE2-40B3-B818-76D104F47E1E}">
  <dimension ref="A1:G22"/>
  <sheetViews>
    <sheetView workbookViewId="0">
      <selection activeCell="E23" sqref="E23"/>
    </sheetView>
  </sheetViews>
  <sheetFormatPr defaultRowHeight="15" x14ac:dyDescent="0.25"/>
  <cols>
    <col min="1" max="1" width="17.5703125" customWidth="1"/>
    <col min="2" max="2" width="22.85546875" customWidth="1"/>
    <col min="3" max="3" width="21.42578125" customWidth="1"/>
    <col min="4" max="4" width="17.42578125" customWidth="1"/>
    <col min="5" max="5" width="17.28515625" customWidth="1"/>
    <col min="6" max="6" width="19" customWidth="1"/>
    <col min="7" max="7" width="36.5703125" customWidth="1"/>
  </cols>
  <sheetData>
    <row r="1" spans="1:7" ht="15.75" x14ac:dyDescent="0.25">
      <c r="A1" s="42" t="str">
        <f>+Acess!A1</f>
        <v>Empresa: Mozambique Support Services, Lda</v>
      </c>
      <c r="B1" s="42"/>
      <c r="C1" s="42"/>
      <c r="D1" s="42"/>
      <c r="E1" s="42"/>
      <c r="F1" s="42"/>
      <c r="G1" s="42"/>
    </row>
    <row r="2" spans="1:7" ht="15.75" x14ac:dyDescent="0.25">
      <c r="A2" s="42" t="str">
        <f>+Acess!A2</f>
        <v xml:space="preserve">Nuit: </v>
      </c>
      <c r="B2" s="42"/>
      <c r="C2" s="42"/>
      <c r="D2" s="42"/>
      <c r="E2" s="42"/>
      <c r="F2" s="42"/>
      <c r="G2" s="42"/>
    </row>
    <row r="3" spans="1:7" ht="15.75" x14ac:dyDescent="0.25">
      <c r="A3" s="42" t="str">
        <f>+Acess!A3</f>
        <v xml:space="preserve">Periodo: </v>
      </c>
      <c r="B3" s="42"/>
      <c r="C3" s="42"/>
      <c r="D3" s="42"/>
      <c r="E3" s="42"/>
      <c r="F3" s="42"/>
      <c r="G3" s="42"/>
    </row>
    <row r="4" spans="1:7" ht="15.75" x14ac:dyDescent="0.25">
      <c r="A4" s="42"/>
      <c r="B4" s="42"/>
      <c r="C4" s="42"/>
      <c r="D4" s="42"/>
      <c r="E4" s="42"/>
      <c r="F4" s="42"/>
      <c r="G4" s="42"/>
    </row>
    <row r="5" spans="1:7" ht="15.75" x14ac:dyDescent="0.25">
      <c r="A5" s="42"/>
      <c r="B5" s="42"/>
      <c r="C5" s="42"/>
      <c r="D5" s="42"/>
      <c r="E5" s="42"/>
      <c r="F5" s="42"/>
      <c r="G5" s="42"/>
    </row>
    <row r="6" spans="1:7" ht="15.75" x14ac:dyDescent="0.25">
      <c r="A6" s="310" t="s">
        <v>369</v>
      </c>
      <c r="B6" s="310"/>
      <c r="C6" s="310"/>
      <c r="D6" s="310"/>
      <c r="E6" s="310"/>
      <c r="F6" s="310"/>
      <c r="G6" s="310"/>
    </row>
    <row r="7" spans="1:7" ht="15.75" x14ac:dyDescent="0.25">
      <c r="A7" s="42"/>
      <c r="B7" s="42"/>
      <c r="C7" s="42"/>
      <c r="D7" s="42"/>
      <c r="E7" s="42"/>
      <c r="F7" s="42"/>
      <c r="G7" s="42"/>
    </row>
    <row r="8" spans="1:7" ht="15.75" x14ac:dyDescent="0.25">
      <c r="A8" s="42"/>
      <c r="B8" s="42"/>
      <c r="C8" s="42"/>
      <c r="D8" s="42"/>
      <c r="E8" s="42"/>
      <c r="F8" s="42"/>
      <c r="G8" s="42"/>
    </row>
    <row r="9" spans="1:7" ht="15.75" x14ac:dyDescent="0.25">
      <c r="A9" s="43" t="s">
        <v>28</v>
      </c>
      <c r="B9" s="42"/>
      <c r="C9" s="42"/>
      <c r="D9" s="42"/>
      <c r="E9" s="42"/>
      <c r="F9" s="42"/>
      <c r="G9" s="42"/>
    </row>
    <row r="10" spans="1:7" ht="15.75" x14ac:dyDescent="0.25">
      <c r="A10" s="311" t="s">
        <v>0</v>
      </c>
      <c r="B10" s="311" t="s">
        <v>1</v>
      </c>
      <c r="C10" s="311" t="s">
        <v>2</v>
      </c>
      <c r="D10" s="313" t="s">
        <v>23</v>
      </c>
      <c r="E10" s="313"/>
      <c r="F10" s="311" t="s">
        <v>9</v>
      </c>
      <c r="G10" s="311" t="s">
        <v>3</v>
      </c>
    </row>
    <row r="11" spans="1:7" ht="15.75" x14ac:dyDescent="0.25">
      <c r="A11" s="312"/>
      <c r="B11" s="312"/>
      <c r="C11" s="312"/>
      <c r="D11" s="44" t="s">
        <v>24</v>
      </c>
      <c r="E11" s="44" t="s">
        <v>365</v>
      </c>
      <c r="F11" s="312"/>
      <c r="G11" s="312"/>
    </row>
    <row r="12" spans="1:7" ht="15.75" x14ac:dyDescent="0.25">
      <c r="A12" s="98"/>
      <c r="B12" s="98"/>
      <c r="C12" s="99"/>
      <c r="D12" s="46"/>
      <c r="E12" s="46"/>
      <c r="F12" s="46"/>
      <c r="G12" s="47"/>
    </row>
    <row r="13" spans="1:7" ht="15.75" x14ac:dyDescent="0.25">
      <c r="A13" s="98"/>
      <c r="B13" s="98"/>
      <c r="C13" s="99" t="s">
        <v>366</v>
      </c>
      <c r="D13" s="50"/>
      <c r="E13" s="50">
        <v>68778.73</v>
      </c>
      <c r="F13" s="50">
        <f>+F12+D13-E13</f>
        <v>-68778.73</v>
      </c>
      <c r="G13" s="47"/>
    </row>
    <row r="14" spans="1:7" ht="15.75" x14ac:dyDescent="0.25">
      <c r="A14" s="45"/>
      <c r="B14" s="48"/>
      <c r="C14" s="100" t="s">
        <v>367</v>
      </c>
      <c r="D14" s="50"/>
      <c r="E14" s="50">
        <v>82937.929999999993</v>
      </c>
      <c r="F14" s="50">
        <f t="shared" ref="F14:F19" si="0">+F13+D14-E14</f>
        <v>-151716.65999999997</v>
      </c>
      <c r="G14" s="47"/>
    </row>
    <row r="15" spans="1:7" ht="15.75" x14ac:dyDescent="0.25">
      <c r="A15" s="45"/>
      <c r="B15" s="48"/>
      <c r="C15" s="49" t="s">
        <v>368</v>
      </c>
      <c r="D15" s="50"/>
      <c r="E15" s="50">
        <v>512390.9</v>
      </c>
      <c r="F15" s="50">
        <f t="shared" si="0"/>
        <v>-664107.56000000006</v>
      </c>
      <c r="G15" s="47"/>
    </row>
    <row r="16" spans="1:7" ht="15.75" x14ac:dyDescent="0.25">
      <c r="A16" s="45"/>
      <c r="B16" s="48"/>
      <c r="C16" s="49"/>
      <c r="D16" s="50"/>
      <c r="E16" s="50"/>
      <c r="F16" s="50">
        <f t="shared" si="0"/>
        <v>-664107.56000000006</v>
      </c>
      <c r="G16" s="47"/>
    </row>
    <row r="17" spans="1:7" ht="15.75" x14ac:dyDescent="0.25">
      <c r="A17" s="45"/>
      <c r="B17" s="48"/>
      <c r="C17" s="49"/>
      <c r="D17" s="50"/>
      <c r="E17" s="50"/>
      <c r="F17" s="50">
        <f t="shared" si="0"/>
        <v>-664107.56000000006</v>
      </c>
      <c r="G17" s="47"/>
    </row>
    <row r="18" spans="1:7" ht="15.75" x14ac:dyDescent="0.25">
      <c r="A18" s="45"/>
      <c r="B18" s="48"/>
      <c r="C18" s="49"/>
      <c r="D18" s="50"/>
      <c r="E18" s="50"/>
      <c r="F18" s="50">
        <f t="shared" si="0"/>
        <v>-664107.56000000006</v>
      </c>
      <c r="G18" s="47"/>
    </row>
    <row r="19" spans="1:7" ht="15.75" x14ac:dyDescent="0.25">
      <c r="A19" s="45"/>
      <c r="B19" s="48"/>
      <c r="C19" s="49"/>
      <c r="D19" s="46"/>
      <c r="E19" s="50"/>
      <c r="F19" s="50">
        <f t="shared" si="0"/>
        <v>-664107.56000000006</v>
      </c>
      <c r="G19" s="47"/>
    </row>
    <row r="20" spans="1:7" ht="15.75" x14ac:dyDescent="0.25">
      <c r="A20" s="45"/>
      <c r="B20" s="48"/>
      <c r="C20" s="49"/>
      <c r="D20" s="46"/>
      <c r="E20" s="50"/>
      <c r="F20" s="50"/>
      <c r="G20" s="47"/>
    </row>
    <row r="21" spans="1:7" ht="15.75" x14ac:dyDescent="0.25">
      <c r="A21" s="51"/>
      <c r="B21" s="52" t="s">
        <v>13</v>
      </c>
      <c r="C21" s="53"/>
      <c r="D21" s="54">
        <f>SUM(D12:D19)</f>
        <v>0</v>
      </c>
      <c r="E21" s="54">
        <f>SUM(E12:E19)</f>
        <v>664107.56000000006</v>
      </c>
      <c r="F21" s="54">
        <f>D21-E21</f>
        <v>-664107.56000000006</v>
      </c>
      <c r="G21" s="51"/>
    </row>
    <row r="22" spans="1:7" ht="15.75" x14ac:dyDescent="0.25">
      <c r="A22" s="42"/>
      <c r="B22" s="42"/>
      <c r="C22" s="42"/>
      <c r="D22" s="42"/>
      <c r="E22" s="42"/>
      <c r="F22" s="42"/>
      <c r="G22" s="42"/>
    </row>
  </sheetData>
  <mergeCells count="7">
    <mergeCell ref="A6:G6"/>
    <mergeCell ref="A10:A11"/>
    <mergeCell ref="B10:B11"/>
    <mergeCell ref="C10:C11"/>
    <mergeCell ref="D10:E10"/>
    <mergeCell ref="F10:F11"/>
    <mergeCell ref="G10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Acess</vt:lpstr>
      <vt:lpstr>EXTRATO PURE DIETS</vt:lpstr>
      <vt:lpstr>Uba</vt:lpstr>
      <vt:lpstr>Caixa Outubro</vt:lpstr>
      <vt:lpstr>Saidas nao ducumentadas</vt:lpstr>
      <vt:lpstr>C&amp;J logistica</vt:lpstr>
      <vt:lpstr>25% De Agenciamento</vt:lpstr>
      <vt:lpstr>Acacio despachante</vt:lpstr>
      <vt:lpstr>Sheet2</vt:lpstr>
      <vt:lpstr>Pure diets</vt:lpstr>
      <vt:lpstr>Caixa novembro</vt:lpstr>
      <vt:lpstr>Caixa Dezembro</vt:lpstr>
      <vt:lpstr>Regularizacao C&amp;j</vt:lpstr>
      <vt:lpstr>Regularizacao Pure Diets</vt:lpstr>
      <vt:lpstr>TCO</vt:lpstr>
      <vt:lpstr>Acess!Print_Area</vt:lpstr>
      <vt:lpstr>'EXTRATO PURE DIETS'!Print_Area</vt:lpstr>
      <vt:lpstr>'Saidas nao ducumentadas'!Print_Area</vt:lpstr>
      <vt:lpstr>Uba!Print_Area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2026-01-13T15:28:15Z</dcterms:modified>
</cp:coreProperties>
</file>